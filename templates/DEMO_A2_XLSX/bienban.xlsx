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/d/yyyy"/>
  </numFmts>
  <fonts count="15">
    <font>
      <name val="Calibri"/>
      <charset val="163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3"/>
    </font>
    <font>
      <name val="Times New Roman"/>
      <charset val="1"/>
      <family val="1"/>
      <b val="1"/>
      <sz val="13"/>
    </font>
    <font>
      <name val="Times New Roman"/>
      <charset val="1"/>
      <family val="1"/>
      <sz val="14"/>
    </font>
    <font>
      <name val="Times New Roman"/>
      <charset val="1"/>
      <family val="1"/>
      <color theme="1"/>
      <sz val="14"/>
    </font>
    <font>
      <name val="Times New Roman"/>
      <charset val="1"/>
      <family val="1"/>
      <b val="1"/>
      <sz val="14"/>
    </font>
    <font>
      <name val="Times New Roman"/>
      <charset val="1"/>
      <family val="1"/>
      <i val="1"/>
      <sz val="14"/>
    </font>
    <font>
      <name val="Times New Roman"/>
      <charset val="1"/>
      <family val="1"/>
      <b val="1"/>
      <color theme="1"/>
      <sz val="14"/>
    </font>
    <font>
      <name val="Times New Roman"/>
      <charset val="1"/>
      <family val="1"/>
      <b val="1"/>
      <color rgb="FF000000"/>
      <sz val="13"/>
    </font>
    <font>
      <name val="Calibri Light"/>
      <charset val="1"/>
      <family val="1"/>
      <b val="1"/>
      <sz val="14"/>
    </font>
    <font>
      <name val="Calibri Light"/>
      <charset val="1"/>
      <family val="1"/>
      <b val="1"/>
      <color rgb="FFFF0000"/>
      <sz val="14"/>
    </font>
    <font>
      <name val="Calibri Light"/>
      <charset val="1"/>
      <family val="1"/>
      <color theme="1"/>
      <sz val="14"/>
    </font>
  </fonts>
  <fills count="2">
    <fill>
      <patternFill/>
    </fill>
    <fill>
      <patternFill patternType="gray125"/>
    </fill>
  </fills>
  <borders count="23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/>
      <right style="medium"/>
      <top/>
      <bottom style="medium"/>
      <diagonal/>
    </border>
    <border>
      <left/>
      <right/>
      <top/>
      <bottom style="medium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bottom"/>
    </xf>
    <xf numFmtId="49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2" fontId="7" fillId="0" borderId="7" applyAlignment="1" pivotButton="0" quotePrefix="0" xfId="0">
      <alignment horizontal="center" vertical="center" wrapText="1"/>
    </xf>
    <xf numFmtId="2" fontId="14" fillId="0" borderId="8" applyAlignment="1" pivotButton="0" quotePrefix="0" xfId="0">
      <alignment horizontal="general" vertical="bottom"/>
    </xf>
    <xf numFmtId="0" fontId="14" fillId="0" borderId="5" applyAlignment="1" pivotButton="0" quotePrefix="0" xfId="0">
      <alignment horizontal="general" vertical="bottom"/>
    </xf>
    <xf numFmtId="2" fontId="14" fillId="0" borderId="9" applyAlignment="1" pivotButton="0" quotePrefix="0" xfId="0">
      <alignment horizontal="general" vertical="bottom"/>
    </xf>
    <xf numFmtId="10" fontId="14" fillId="0" borderId="5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bottom"/>
    </xf>
    <xf numFmtId="49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1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3" pivotButton="0" quotePrefix="0" xfId="0"/>
    <xf numFmtId="0" fontId="12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4" pivotButton="0" quotePrefix="0" xfId="0"/>
    <xf numFmtId="0" fontId="11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22" pivotButton="0" quotePrefix="0" xfId="0"/>
    <xf numFmtId="0" fontId="7" fillId="0" borderId="6" applyAlignment="1" pivotButton="0" quotePrefix="0" xfId="0">
      <alignment horizontal="center" vertical="center" wrapText="1"/>
    </xf>
    <xf numFmtId="2" fontId="7" fillId="0" borderId="7" applyAlignment="1" pivotButton="0" quotePrefix="0" xfId="0">
      <alignment horizontal="center" vertical="center" wrapText="1"/>
    </xf>
    <xf numFmtId="2" fontId="14" fillId="0" borderId="8" applyAlignment="1" pivotButton="0" quotePrefix="0" xfId="0">
      <alignment horizontal="general" vertical="bottom"/>
    </xf>
    <xf numFmtId="0" fontId="14" fillId="0" borderId="5" applyAlignment="1" pivotButton="0" quotePrefix="0" xfId="0">
      <alignment horizontal="general" vertical="bottom"/>
    </xf>
    <xf numFmtId="2" fontId="14" fillId="0" borderId="9" applyAlignment="1" pivotButton="0" quotePrefix="0" xfId="0">
      <alignment horizontal="general" vertical="bottom"/>
    </xf>
    <xf numFmtId="10" fontId="14" fillId="0" borderId="5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6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9" activeCellId="0" sqref="N9"/>
    </sheetView>
  </sheetViews>
  <sheetFormatPr baseColWidth="8" defaultColWidth="8.6796875" defaultRowHeight="15" customHeight="0" zeroHeight="0" outlineLevelRow="0"/>
  <cols>
    <col width="24.42" customWidth="1" style="34" min="1" max="1"/>
    <col width="14.42" customWidth="1" style="34" min="2" max="2"/>
    <col width="11.29" customWidth="1" style="34" min="8" max="8"/>
    <col width="6.85" customWidth="1" style="34" min="9" max="9"/>
    <col width="4.29" customWidth="1" style="34" min="10" max="10"/>
    <col width="14.14" customWidth="1" style="34" min="12" max="12"/>
    <col width="8.15" customWidth="1" style="34" min="13" max="13"/>
    <col width="13.86" customWidth="1" style="34" min="14" max="15"/>
    <col width="13.71" customWidth="1" style="34" min="16" max="16"/>
    <col width="12.42" customWidth="1" style="34" min="17" max="17"/>
    <col width="11.57" customWidth="1" style="34" min="18" max="18"/>
    <col width="13.71" customWidth="1" style="34" min="19" max="19"/>
    <col width="6.29" customWidth="1" style="34" min="20" max="20"/>
    <col width="4.42" customWidth="1" style="34" min="21" max="21"/>
    <col width="8.289999999999999" customWidth="1" style="34" min="23" max="23"/>
  </cols>
  <sheetData>
    <row r="1" ht="17.35" customHeight="1" s="35">
      <c r="A1" s="36" t="inlineStr">
        <is>
          <t xml:space="preserve">     CỤC TIÊU CHUẨN ĐO LƯỜNG CHẤT LƯỢNG                       CỘNG HÒA XÃ HỘI CHỦ NGHĨA VIỆT NAM</t>
        </is>
      </c>
      <c r="B1" s="37" t="n"/>
      <c r="C1" s="37" t="n"/>
      <c r="D1" s="38" t="n"/>
      <c r="E1" s="37" t="n"/>
      <c r="F1" s="37" t="n"/>
      <c r="G1" s="37" t="n"/>
      <c r="H1" s="37" t="n"/>
      <c r="I1" s="37" t="n"/>
      <c r="J1" s="37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W1" s="34" t="n"/>
    </row>
    <row r="2" ht="17.35" customHeight="1" s="35">
      <c r="A2" s="39" t="inlineStr">
        <is>
          <t xml:space="preserve">                   TRUNG TÂM TC-ĐL-CL 2                                                      Độc lập - Tự do - Hạnh phúc</t>
        </is>
      </c>
      <c r="B2" s="37" t="n"/>
      <c r="C2" s="37" t="n"/>
      <c r="D2" s="38" t="n"/>
      <c r="E2" s="37" t="n"/>
      <c r="F2" s="37" t="n"/>
      <c r="G2" s="37" t="n"/>
      <c r="H2" s="37" t="n"/>
      <c r="I2" s="37" t="n"/>
      <c r="J2" s="37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W2" s="34" t="n"/>
    </row>
    <row r="3" ht="17.35" customHeight="1" s="35">
      <c r="A3" s="40" t="n"/>
      <c r="C3" s="40" t="n"/>
      <c r="D3" s="41" t="inlineStr">
        <is>
          <t>header('sign_date')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W3" s="34" t="n"/>
    </row>
    <row r="4" ht="17.35" customHeight="1" s="35">
      <c r="A4" s="37" t="n"/>
      <c r="B4" s="37" t="n"/>
      <c r="C4" s="37" t="n"/>
      <c r="D4" s="38" t="n"/>
      <c r="E4" s="37" t="n"/>
      <c r="F4" s="37" t="n"/>
      <c r="G4" s="37" t="n"/>
      <c r="H4" s="37" t="n"/>
      <c r="I4" s="37" t="n"/>
      <c r="J4" s="37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W4" s="34" t="n"/>
    </row>
    <row r="5" ht="17.35" customHeight="1" s="35">
      <c r="A5" s="42" t="inlineStr">
        <is>
          <t>BIÊN BẢN HIỆU CHUẨN</t>
        </is>
      </c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W5" s="34" t="n"/>
    </row>
    <row r="6" ht="15" customHeight="1" s="35">
      <c r="A6" s="43" t="inlineStr">
        <is>
          <t>Số:</t>
        </is>
      </c>
      <c r="B6" s="34" t="inlineStr">
        <is>
          <t>header('cert_no')</t>
        </is>
      </c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W6" s="34" t="n"/>
    </row>
    <row r="7" ht="17.35" customHeight="1" s="35">
      <c r="A7" s="37" t="n"/>
      <c r="B7" s="37" t="n"/>
      <c r="C7" s="37" t="n"/>
      <c r="D7" s="38" t="n"/>
      <c r="E7" s="37" t="n"/>
      <c r="F7" s="37" t="n"/>
      <c r="G7" s="37" t="n"/>
      <c r="H7" s="37" t="n"/>
      <c r="I7" s="37" t="n"/>
      <c r="J7" s="37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W7" s="34" t="n"/>
    </row>
    <row r="8" ht="17.35" customHeight="1" s="35">
      <c r="A8" s="37" t="inlineStr">
        <is>
          <t xml:space="preserve"> Tên phương tiện đo:  </t>
        </is>
      </c>
      <c r="B8" s="37" t="inlineStr">
        <is>
          <t>header('name')</t>
        </is>
      </c>
      <c r="C8" s="37" t="n"/>
      <c r="D8" s="38" t="n"/>
      <c r="E8" s="37" t="n"/>
      <c r="F8" s="37" t="n"/>
      <c r="G8" s="37" t="n"/>
      <c r="H8" s="37" t="n"/>
      <c r="I8" s="37" t="n"/>
      <c r="J8" s="37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W8" s="34" t="n"/>
    </row>
    <row r="9" ht="17.35" customHeight="1" s="35">
      <c r="A9" s="37" t="inlineStr">
        <is>
          <t xml:space="preserve"> Ký hiệu:   </t>
        </is>
      </c>
      <c r="B9" s="37" t="inlineStr">
        <is>
          <t>header('no')</t>
        </is>
      </c>
      <c r="C9" s="37" t="n"/>
      <c r="D9" s="38" t="n"/>
      <c r="E9" s="44" t="inlineStr">
        <is>
          <t xml:space="preserve">Số hiệu: </t>
        </is>
      </c>
      <c r="F9" s="37" t="inlineStr">
        <is>
          <t>header('serial')</t>
        </is>
      </c>
      <c r="G9" s="37" t="n"/>
      <c r="H9" s="44" t="n"/>
      <c r="I9" s="45" t="n"/>
      <c r="J9" s="37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W9" s="34" t="n"/>
    </row>
    <row r="10" ht="17.35" customHeight="1" s="35">
      <c r="A10" s="37" t="inlineStr">
        <is>
          <t xml:space="preserve"> Nước (hãng) sản xuất: </t>
        </is>
      </c>
      <c r="B10" s="37" t="inlineStr">
        <is>
          <t>header('country')</t>
        </is>
      </c>
      <c r="C10" s="37" t="n"/>
      <c r="D10" s="38" t="n"/>
      <c r="E10" s="44" t="n"/>
      <c r="F10" s="45" t="n"/>
      <c r="G10" s="37" t="n"/>
      <c r="H10" s="37" t="n"/>
      <c r="I10" s="37" t="n"/>
      <c r="J10" s="37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W10" s="34" t="n"/>
    </row>
    <row r="11" ht="17.35" customHeight="1" s="35">
      <c r="A11" s="37" t="inlineStr">
        <is>
          <t xml:space="preserve"> Đơn vị quản lý: </t>
        </is>
      </c>
      <c r="B11" s="37" t="inlineStr">
        <is>
          <t>header('company')</t>
        </is>
      </c>
      <c r="C11" s="38" t="n"/>
      <c r="D11" s="38" t="n"/>
      <c r="E11" s="37" t="n"/>
      <c r="F11" s="37" t="n"/>
      <c r="G11" s="37" t="n"/>
      <c r="H11" s="37" t="n"/>
      <c r="I11" s="37" t="n"/>
      <c r="J11" s="37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W11" s="34" t="n"/>
    </row>
    <row r="12" ht="17.35" customHeight="1" s="35">
      <c r="A12" s="37" t="inlineStr">
        <is>
          <t xml:space="preserve"> Đặc tính kỹ thuật: </t>
        </is>
      </c>
      <c r="B12" s="37" t="inlineStr">
        <is>
          <t>header('Characteristics')</t>
        </is>
      </c>
      <c r="C12" s="37" t="n"/>
      <c r="D12" s="38" t="n"/>
      <c r="E12" s="37" t="n"/>
      <c r="F12" s="37" t="n"/>
      <c r="G12" s="37" t="n"/>
      <c r="H12" s="37" t="n"/>
      <c r="I12" s="37" t="n"/>
      <c r="J12" s="37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W12" s="34" t="n"/>
    </row>
    <row r="13" ht="17.35" customHeight="1" s="35">
      <c r="A13" s="37" t="inlineStr">
        <is>
          <t xml:space="preserve">              </t>
        </is>
      </c>
      <c r="B13" s="37" t="n"/>
      <c r="C13" s="37" t="n"/>
      <c r="D13" s="38" t="n"/>
      <c r="E13" s="37" t="n"/>
      <c r="F13" s="37" t="n"/>
      <c r="G13" s="37" t="n"/>
      <c r="H13" s="37" t="n"/>
      <c r="I13" s="37" t="n"/>
      <c r="J13" s="37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W13" s="34" t="n"/>
    </row>
    <row r="14" ht="17.35" customHeight="1" s="35">
      <c r="A14" s="37" t="inlineStr">
        <is>
          <t xml:space="preserve"> Phương pháp thực hiện: </t>
        </is>
      </c>
      <c r="B14" s="37" t="n"/>
      <c r="C14" s="37" t="n"/>
      <c r="D14" s="38" t="n"/>
      <c r="E14" s="37" t="inlineStr">
        <is>
          <t>header('standard')</t>
        </is>
      </c>
      <c r="F14" s="37" t="n"/>
      <c r="G14" s="37" t="n"/>
      <c r="H14" s="37" t="n"/>
      <c r="I14" s="37" t="n"/>
      <c r="J14" s="37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W14" s="34" t="n"/>
    </row>
    <row r="15" ht="17.35" customHeight="1" s="35">
      <c r="A15" s="37" t="inlineStr">
        <is>
          <t xml:space="preserve"> Chuẩn sử dụng: </t>
        </is>
      </c>
      <c r="B15" s="37" t="inlineStr">
        <is>
          <t>header('equipment')</t>
        </is>
      </c>
      <c r="C15" s="37" t="n"/>
      <c r="D15" s="38" t="n"/>
      <c r="E15" s="37" t="n"/>
      <c r="F15" s="37" t="n"/>
      <c r="G15" s="37" t="n"/>
      <c r="H15" s="37" t="n"/>
      <c r="I15" s="37" t="n"/>
      <c r="J15" s="37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W15" s="34" t="n"/>
    </row>
    <row r="16" ht="17.35" customHeight="1" s="35">
      <c r="A16" s="37" t="inlineStr">
        <is>
          <t xml:space="preserve"> Điều kiện môi trường:  </t>
        </is>
      </c>
      <c r="B16" s="37" t="n"/>
      <c r="C16" s="37" t="n"/>
      <c r="D16" s="38" t="n"/>
      <c r="E16" s="37" t="inlineStr">
        <is>
          <t xml:space="preserve">Nhiệt độ: </t>
        </is>
      </c>
      <c r="F16" s="37" t="inlineStr">
        <is>
          <t>header('temperature')</t>
        </is>
      </c>
      <c r="G16" s="37" t="n"/>
      <c r="H16" s="37" t="n"/>
      <c r="I16" s="37" t="n"/>
      <c r="J16" s="37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W16" s="34" t="n"/>
    </row>
    <row r="17" ht="17.35" customHeight="1" s="35">
      <c r="A17" s="37" t="n"/>
      <c r="B17" s="37" t="n"/>
      <c r="C17" s="37" t="n"/>
      <c r="D17" s="38" t="n"/>
      <c r="E17" s="37" t="inlineStr">
        <is>
          <t xml:space="preserve">Độ ẩm: </t>
        </is>
      </c>
      <c r="F17" s="37" t="inlineStr">
        <is>
          <t>header('humidity')</t>
        </is>
      </c>
      <c r="G17" s="37" t="n"/>
      <c r="H17" s="37" t="n"/>
      <c r="I17" s="37" t="n"/>
      <c r="J17" s="37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W17" s="34" t="n"/>
    </row>
    <row r="18" ht="17.35" customHeight="1" s="35">
      <c r="A18" s="37" t="inlineStr">
        <is>
          <t xml:space="preserve"> Ngày hiệu chuẩn: </t>
        </is>
      </c>
      <c r="B18" s="37" t="inlineStr">
        <is>
          <t>header('today')</t>
        </is>
      </c>
      <c r="C18" s="46" t="n"/>
      <c r="E18" s="37" t="n"/>
      <c r="F18" s="37" t="n"/>
      <c r="G18" s="37" t="n"/>
      <c r="H18" s="37" t="n"/>
      <c r="I18" s="37" t="n"/>
      <c r="J18" s="37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W18" s="34" t="n"/>
    </row>
    <row r="19" ht="17.35" customHeight="1" s="35">
      <c r="A19" s="37" t="n"/>
      <c r="B19" s="37" t="n"/>
      <c r="C19" s="37" t="n"/>
      <c r="D19" s="38" t="n"/>
      <c r="E19" s="37" t="n"/>
      <c r="F19" s="37" t="n"/>
      <c r="G19" s="37" t="n"/>
      <c r="H19" s="37" t="n"/>
      <c r="I19" s="37" t="n"/>
      <c r="J19" s="37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W19" s="34" t="n"/>
    </row>
    <row r="20" ht="17.35" customHeight="1" s="35">
      <c r="A20" s="47" t="inlineStr">
        <is>
          <t>KẾT QUẢ HIỆU CHUẨN</t>
        </is>
      </c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W20" s="34" t="n"/>
    </row>
    <row r="21" ht="17.35" customHeight="1" s="35">
      <c r="A21" s="48" t="inlineStr">
        <is>
          <t>(xem trang sau)</t>
        </is>
      </c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W21" s="34" t="n"/>
    </row>
    <row r="22" ht="17.35" customHeight="1" s="35">
      <c r="A22" s="37" t="n"/>
      <c r="B22" s="37" t="n"/>
      <c r="C22" s="37" t="n"/>
      <c r="D22" s="38" t="n"/>
      <c r="E22" s="37" t="n"/>
      <c r="F22" s="37" t="n"/>
      <c r="G22" s="37" t="n"/>
      <c r="H22" s="37" t="n"/>
      <c r="I22" s="37" t="n"/>
      <c r="J22" s="37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W22" s="34" t="n"/>
    </row>
    <row r="23" ht="16.15" customHeight="1" s="35">
      <c r="A23" s="39" t="n"/>
      <c r="B23" s="40" t="inlineStr">
        <is>
          <t>NGƯỜI THỰC HIỆN</t>
        </is>
      </c>
      <c r="E23" s="39" t="n"/>
      <c r="F23" s="39" t="n"/>
      <c r="G23" s="40" t="inlineStr">
        <is>
          <t>TRƯỞNG PHÒNG</t>
        </is>
      </c>
      <c r="J23" s="39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W23" s="34" t="n"/>
    </row>
    <row r="24" ht="17.35" customHeight="1" s="35">
      <c r="A24" s="37" t="n"/>
      <c r="B24" s="37" t="n"/>
      <c r="C24" s="37" t="n"/>
      <c r="D24" s="38" t="n"/>
      <c r="E24" s="37" t="n"/>
      <c r="F24" s="37" t="n"/>
      <c r="G24" s="37" t="n"/>
      <c r="H24" s="37" t="n"/>
      <c r="I24" s="37" t="n"/>
      <c r="J24" s="37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W24" s="34" t="n"/>
    </row>
    <row r="25" ht="17.35" customHeight="1" s="35">
      <c r="A25" s="37" t="n"/>
      <c r="B25" s="37" t="n"/>
      <c r="C25" s="37" t="n"/>
      <c r="D25" s="38" t="n"/>
      <c r="E25" s="37" t="n"/>
      <c r="F25" s="37" t="n"/>
      <c r="G25" s="37" t="n"/>
      <c r="H25" s="37" t="n"/>
      <c r="I25" s="37" t="n"/>
      <c r="J25" s="37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W25" s="34" t="n"/>
    </row>
    <row r="26" ht="17.35" customHeight="1" s="35">
      <c r="A26" s="37" t="n"/>
      <c r="B26" s="37" t="n"/>
      <c r="C26" s="37" t="n"/>
      <c r="D26" s="38" t="n"/>
      <c r="E26" s="37" t="n"/>
      <c r="F26" s="37" t="n"/>
      <c r="G26" s="37" t="n"/>
      <c r="H26" s="37" t="n"/>
      <c r="I26" s="37" t="n"/>
      <c r="J26" s="37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W26" s="34" t="n"/>
    </row>
    <row r="27" ht="17.35" customHeight="1" s="35">
      <c r="A27" s="49" t="n"/>
      <c r="B27" s="42" t="inlineStr">
        <is>
          <t>header('inspector')</t>
        </is>
      </c>
      <c r="E27" s="49" t="n"/>
      <c r="F27" s="49" t="n"/>
      <c r="G27" s="42" t="inlineStr">
        <is>
          <t>header('manager')</t>
        </is>
      </c>
      <c r="J27" s="49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W27" s="34" t="n"/>
    </row>
    <row r="28" ht="17.35" customHeight="1" s="35">
      <c r="A28" s="37" t="n"/>
      <c r="B28" s="37" t="n"/>
      <c r="C28" s="37" t="n"/>
      <c r="D28" s="38" t="n"/>
      <c r="E28" s="37" t="n"/>
      <c r="F28" s="37" t="n"/>
      <c r="G28" s="37" t="n"/>
      <c r="H28" s="37" t="n"/>
      <c r="I28" s="37" t="n"/>
      <c r="J28" s="37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W28" s="34" t="n"/>
    </row>
    <row r="29" ht="17.35" customHeight="1" s="35">
      <c r="A29" s="47" t="inlineStr">
        <is>
          <t>KẾT QUẢ HIỆU CHUẨN</t>
        </is>
      </c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W29" s="34" t="n"/>
    </row>
    <row r="30" ht="17.35" customHeight="1" s="35">
      <c r="A30" s="37" t="n"/>
      <c r="B30" s="37" t="n"/>
      <c r="C30" s="37" t="n"/>
      <c r="D30" s="38" t="n"/>
      <c r="E30" s="37" t="n"/>
      <c r="F30" s="37" t="n"/>
      <c r="G30" s="37" t="n"/>
      <c r="H30" s="37" t="n"/>
      <c r="I30" s="37" t="n"/>
      <c r="J30" s="37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W30" s="34" t="n"/>
    </row>
    <row r="31" ht="17.35" customHeight="1" s="35">
      <c r="A31" s="37" t="inlineStr">
        <is>
          <t>1. Kiểm tra bên ngoài:  Đạt</t>
        </is>
      </c>
      <c r="B31" s="37" t="n"/>
      <c r="C31" s="37" t="n"/>
      <c r="D31" s="38" t="n"/>
      <c r="E31" s="37" t="n"/>
      <c r="F31" s="37" t="n"/>
      <c r="G31" s="37" t="n"/>
      <c r="H31" s="37" t="n"/>
      <c r="I31" s="37" t="n"/>
      <c r="J31" s="37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W31" s="34" t="n"/>
    </row>
    <row r="32" ht="17.35" customHeight="1" s="35">
      <c r="A32" s="37" t="inlineStr">
        <is>
          <t>2. Kiểm tra kỹ thuật:  Đạt</t>
        </is>
      </c>
      <c r="B32" s="37" t="n"/>
      <c r="C32" s="37" t="n"/>
      <c r="D32" s="38" t="n"/>
      <c r="E32" s="37" t="n"/>
      <c r="F32" s="37" t="n"/>
      <c r="G32" s="37" t="n"/>
      <c r="H32" s="37" t="n"/>
      <c r="I32" s="37" t="n"/>
      <c r="J32" s="37" t="n"/>
    </row>
    <row r="33" ht="17.35" customHeight="1" s="35">
      <c r="A33" s="37" t="inlineStr">
        <is>
          <t>3. Kiểm tra đo lường:</t>
        </is>
      </c>
      <c r="B33" s="37" t="n"/>
      <c r="C33" s="37" t="n"/>
      <c r="D33" s="38" t="n"/>
      <c r="E33" s="37" t="n"/>
      <c r="F33" s="37" t="n"/>
      <c r="G33" s="37" t="n"/>
      <c r="H33" s="37" t="n"/>
      <c r="I33" s="37" t="n"/>
      <c r="J33" s="37" t="n"/>
    </row>
    <row r="35" ht="19.5" customHeight="1" s="35">
      <c r="A35" s="50" t="inlineStr">
        <is>
          <t>Bảng A2 - Xác định độ chính xác đo mức công suất tuyệt đối (tại 0 dBm)</t>
        </is>
      </c>
      <c r="B35" s="50" t="n"/>
    </row>
    <row r="36" ht="17.25" customHeight="1" s="35">
      <c r="A36" s="51" t="inlineStr">
        <is>
          <t>Tần số thiết lập</t>
        </is>
      </c>
      <c r="B36" s="52" t="inlineStr">
        <is>
          <t>Công suất trên NRVD (dBm)</t>
        </is>
      </c>
      <c r="C36" s="51" t="inlineStr">
        <is>
          <t>Công suất đo được trên N1922A</t>
        </is>
      </c>
      <c r="D36" s="53" t="n"/>
      <c r="E36" s="53" t="n"/>
      <c r="F36" s="53" t="n"/>
      <c r="G36" s="53" t="n"/>
      <c r="H36" s="54" t="n"/>
      <c r="I36" s="55" t="inlineStr">
        <is>
          <t>Độ KĐBĐ</t>
        </is>
      </c>
      <c r="J36" s="54" t="n"/>
    </row>
    <row r="37" ht="36.75" customHeight="1" s="35">
      <c r="A37" s="56" t="inlineStr">
        <is>
          <t>(mức công suất</t>
        </is>
      </c>
      <c r="B37" s="57" t="n"/>
      <c r="C37" s="58" t="inlineStr">
        <is>
          <t>( mức công suất 0 dBm)</t>
        </is>
      </c>
      <c r="D37" s="59" t="n"/>
      <c r="E37" s="59" t="n"/>
      <c r="F37" s="59" t="n"/>
      <c r="G37" s="59" t="n"/>
      <c r="H37" s="60" t="n"/>
      <c r="I37" s="61" t="n"/>
      <c r="J37" s="62" t="n"/>
      <c r="L37" s="63" t="inlineStr">
        <is>
          <t>ĐKĐBĐ loại A</t>
        </is>
      </c>
      <c r="M37" s="63" t="inlineStr">
        <is>
          <t>ĐKĐBĐ của chuẩn</t>
        </is>
      </c>
      <c r="N37" s="63" t="inlineStr">
        <is>
          <t>Độ phân giải TB</t>
        </is>
      </c>
      <c r="O37" s="63" t="inlineStr">
        <is>
          <t>ĐKBDĐ mismacth</t>
        </is>
      </c>
      <c r="P37" s="63" t="inlineStr">
        <is>
          <t xml:space="preserve">ĐKBDĐ zero </t>
        </is>
      </c>
      <c r="Q37" s="63" t="inlineStr">
        <is>
          <t>ĐKBDĐ noise</t>
        </is>
      </c>
      <c r="R37" s="63" t="inlineStr">
        <is>
          <t>ĐKBDĐ connector</t>
        </is>
      </c>
      <c r="S37" s="63" t="inlineStr">
        <is>
          <t>ĐKĐBĐ tổng hợp</t>
        </is>
      </c>
      <c r="T37" s="64" t="inlineStr">
        <is>
          <t>ĐKĐBĐ mở rộng</t>
        </is>
      </c>
      <c r="U37" s="65" t="n"/>
      <c r="V37" s="64" t="inlineStr">
        <is>
          <t>CMC</t>
        </is>
      </c>
      <c r="W37" s="63" t="inlineStr">
        <is>
          <t>ĐKĐBĐ  trên giấy</t>
        </is>
      </c>
    </row>
    <row r="38" ht="19.5" customHeight="1" s="35">
      <c r="A38" s="58" t="inlineStr">
        <is>
          <t>0 dBm)</t>
        </is>
      </c>
      <c r="B38" s="66" t="n"/>
      <c r="C38" s="67" t="inlineStr">
        <is>
          <t>lần 1</t>
        </is>
      </c>
      <c r="D38" s="67" t="inlineStr">
        <is>
          <t>lần 2</t>
        </is>
      </c>
      <c r="E38" s="67" t="inlineStr">
        <is>
          <t>lần 3</t>
        </is>
      </c>
      <c r="F38" s="67" t="inlineStr">
        <is>
          <t>lần 4</t>
        </is>
      </c>
      <c r="G38" s="67" t="inlineStr">
        <is>
          <t>lần 5</t>
        </is>
      </c>
      <c r="H38" s="68" t="inlineStr">
        <is>
          <t>TB</t>
        </is>
      </c>
      <c r="I38" s="69" t="n"/>
      <c r="J38" s="6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1" t="n"/>
      <c r="U38" s="72" t="n"/>
      <c r="V38" s="70" t="n"/>
      <c r="W38" s="70" t="n"/>
    </row>
    <row r="39" ht="19.5" customHeight="1" s="35">
      <c r="A39" s="58" t="inlineStr">
        <is>
          <t>10 MHz</t>
        </is>
      </c>
      <c r="B39" s="73" t="inlineStr">
        <is>
          <t>report_val('A1')</t>
        </is>
      </c>
      <c r="C39" s="73" t="inlineStr">
        <is>
          <t>report_val('A1')</t>
        </is>
      </c>
      <c r="D39" s="73" t="inlineStr">
        <is>
          <t>report_val('A1')</t>
        </is>
      </c>
      <c r="E39" s="73" t="inlineStr">
        <is>
          <t>report_val('A1')</t>
        </is>
      </c>
      <c r="F39" s="73" t="inlineStr">
        <is>
          <t>report_val('A1')</t>
        </is>
      </c>
      <c r="G39" s="73" t="inlineStr">
        <is>
          <t>report_val('A1')</t>
        </is>
      </c>
      <c r="H39" s="73">
        <f>AVERAGE(C39:G39)</f>
        <v/>
      </c>
      <c r="I39" s="74">
        <f>MAX(T39,V39)</f>
        <v/>
      </c>
      <c r="J39" s="75" t="inlineStr">
        <is>
          <t>%</t>
        </is>
      </c>
      <c r="L39" s="76">
        <f>23.03*(SQRT(((H39-C39)^2+(H39-D39)^2+(H39-E39)^2+(H39-F39)^2+(H39-G39)^2)/20))</f>
        <v/>
      </c>
      <c r="M39" s="76">
        <f>W39/2*100</f>
        <v/>
      </c>
      <c r="N39" s="76">
        <f>(0.001/(2*SQRT(3)))*23.03</f>
        <v/>
      </c>
      <c r="O39" s="76" t="n"/>
      <c r="P39" s="76">
        <f>(4.343*(50*10^-9/SQRT(3))/10^-3)*23.03</f>
        <v/>
      </c>
      <c r="Q39" s="76">
        <f>(4.343*(100*10^-9/SQRT(3))/10^-3)*23.03</f>
        <v/>
      </c>
      <c r="R39" s="76">
        <f>(0.005/SQRT(3))*23.03</f>
        <v/>
      </c>
      <c r="S39" s="76">
        <f>SQRT(L39^2+M39^2+N39^2+Q39^2+P39^2+R39^2)</f>
        <v/>
      </c>
      <c r="T39" s="77">
        <f>S39*2</f>
        <v/>
      </c>
      <c r="U39" s="75" t="inlineStr">
        <is>
          <t>%</t>
        </is>
      </c>
      <c r="V39" s="76" t="n"/>
      <c r="W39" s="78" t="n">
        <v>0.0161</v>
      </c>
    </row>
    <row r="40" ht="19.5" customHeight="1" s="35">
      <c r="A40" s="58" t="inlineStr">
        <is>
          <t>50 MHz</t>
        </is>
      </c>
      <c r="B40" s="73" t="inlineStr">
        <is>
          <t>report_val('A1')</t>
        </is>
      </c>
      <c r="C40" s="73" t="inlineStr">
        <is>
          <t>report_val('A1')</t>
        </is>
      </c>
      <c r="D40" s="73" t="inlineStr">
        <is>
          <t>report_val('A1')</t>
        </is>
      </c>
      <c r="E40" s="73" t="inlineStr">
        <is>
          <t>report_val('A1')</t>
        </is>
      </c>
      <c r="F40" s="73" t="inlineStr">
        <is>
          <t>report_val('A1')</t>
        </is>
      </c>
      <c r="G40" s="73" t="inlineStr">
        <is>
          <t>report_val('A1')</t>
        </is>
      </c>
      <c r="H40" s="73">
        <f>AVERAGE(C40:G40)</f>
        <v/>
      </c>
      <c r="I40" s="74">
        <f>MAX(T40,V40)</f>
        <v/>
      </c>
      <c r="J40" s="75" t="inlineStr">
        <is>
          <t>%</t>
        </is>
      </c>
      <c r="L40" s="76">
        <f>23.03*(SQRT(((H40-C40)^2+(H40-D40)^2+(H40-E40)^2+(H40-F40)^2+(H40-G40)^2)/20))</f>
        <v/>
      </c>
      <c r="M40" s="76">
        <f>W40/2*100</f>
        <v/>
      </c>
      <c r="N40" s="76">
        <f>(0.001/(2*SQRT(3)))*23.03</f>
        <v/>
      </c>
      <c r="O40" s="76" t="n"/>
      <c r="P40" s="76">
        <f>(4.343*(50*10^-9/SQRT(3))/10^-3)*23.03</f>
        <v/>
      </c>
      <c r="Q40" s="76">
        <f>(4.343*(100*10^-9/SQRT(3))/10^-3)*23.03</f>
        <v/>
      </c>
      <c r="R40" s="76">
        <f>(0.005/SQRT(3))*23.03</f>
        <v/>
      </c>
      <c r="S40" s="76">
        <f>SQRT(L40^2+M40^2+N40^2+Q40^2+P40^2+R40^2)</f>
        <v/>
      </c>
      <c r="T40" s="77">
        <f>S40*2</f>
        <v/>
      </c>
      <c r="U40" s="75" t="inlineStr">
        <is>
          <t>%</t>
        </is>
      </c>
      <c r="V40" s="76" t="n"/>
      <c r="W40" s="78" t="n">
        <v>0.0161</v>
      </c>
    </row>
    <row r="41" ht="19.5" customHeight="1" s="35">
      <c r="A41" s="58" t="inlineStr">
        <is>
          <t>500 MHz</t>
        </is>
      </c>
      <c r="B41" s="73" t="inlineStr">
        <is>
          <t>report_val('A1')</t>
        </is>
      </c>
      <c r="C41" s="73" t="inlineStr">
        <is>
          <t>report_val('A1')</t>
        </is>
      </c>
      <c r="D41" s="73" t="inlineStr">
        <is>
          <t>report_val('A1')</t>
        </is>
      </c>
      <c r="E41" s="73" t="inlineStr">
        <is>
          <t>report_val('A1')</t>
        </is>
      </c>
      <c r="F41" s="73" t="inlineStr">
        <is>
          <t>report_val('A1')</t>
        </is>
      </c>
      <c r="G41" s="73" t="inlineStr">
        <is>
          <t>report_val('A1')</t>
        </is>
      </c>
      <c r="H41" s="73">
        <f>AVERAGE(C41:G41)</f>
        <v/>
      </c>
      <c r="I41" s="74">
        <f>MAX(T41,V41)</f>
        <v/>
      </c>
      <c r="J41" s="75" t="inlineStr">
        <is>
          <t>%</t>
        </is>
      </c>
      <c r="L41" s="76">
        <f>23.03*(SQRT(((H41-C41)^2+(H41-D41)^2+(H41-E41)^2+(H41-F41)^2+(H41-G41)^2)/20))</f>
        <v/>
      </c>
      <c r="M41" s="76">
        <f>W41/2*100</f>
        <v/>
      </c>
      <c r="N41" s="76">
        <f>(0.001/(2*SQRT(3)))*23.03</f>
        <v/>
      </c>
      <c r="O41" s="76" t="n"/>
      <c r="P41" s="76">
        <f>(4.343*(50*10^-9/SQRT(3))/10^-3)*23.03</f>
        <v/>
      </c>
      <c r="Q41" s="76">
        <f>(4.343*(100*10^-9/SQRT(3))/10^-3)*23.03</f>
        <v/>
      </c>
      <c r="R41" s="76">
        <f>(0.005/SQRT(3))*23.03</f>
        <v/>
      </c>
      <c r="S41" s="76">
        <f>SQRT(L41^2+M41^2+N41^2+Q41^2+P41^2+R41^2)</f>
        <v/>
      </c>
      <c r="T41" s="77">
        <f>S41*2</f>
        <v/>
      </c>
      <c r="U41" s="75" t="inlineStr">
        <is>
          <t>%</t>
        </is>
      </c>
      <c r="V41" s="76" t="n"/>
      <c r="W41" s="78" t="n">
        <v>0.0161</v>
      </c>
    </row>
    <row r="42" ht="19.5" customHeight="1" s="35">
      <c r="A42" s="58" t="inlineStr">
        <is>
          <t>1 GHz</t>
        </is>
      </c>
      <c r="B42" s="73" t="inlineStr">
        <is>
          <t>report_val('A1')</t>
        </is>
      </c>
      <c r="C42" s="73" t="inlineStr">
        <is>
          <t>report_val('A1')</t>
        </is>
      </c>
      <c r="D42" s="73" t="inlineStr">
        <is>
          <t>report_val('A1')</t>
        </is>
      </c>
      <c r="E42" s="73" t="inlineStr">
        <is>
          <t>report_val('A1')</t>
        </is>
      </c>
      <c r="F42" s="73" t="inlineStr">
        <is>
          <t>report_val('A1')</t>
        </is>
      </c>
      <c r="G42" s="73" t="inlineStr">
        <is>
          <t>report_val('A1')</t>
        </is>
      </c>
      <c r="H42" s="73">
        <f>AVERAGE(C42:G42)</f>
        <v/>
      </c>
      <c r="I42" s="74">
        <f>MAX(T42,V42)</f>
        <v/>
      </c>
      <c r="J42" s="75" t="inlineStr">
        <is>
          <t>%</t>
        </is>
      </c>
      <c r="L42" s="76">
        <f>23.03*(SQRT(((H42-C42)^2+(H42-D42)^2+(H42-E42)^2+(H42-F42)^2+(H42-G42)^2)/20))</f>
        <v/>
      </c>
      <c r="M42" s="76">
        <f>W42/2*100</f>
        <v/>
      </c>
      <c r="N42" s="76">
        <f>(0.001/(2*SQRT(3)))*23.03</f>
        <v/>
      </c>
      <c r="O42" s="76" t="n"/>
      <c r="P42" s="76">
        <f>(4.343*(50*10^-9/SQRT(3))/10^-3)*23.03</f>
        <v/>
      </c>
      <c r="Q42" s="76">
        <f>(4.343*(100*10^-9/SQRT(3))/10^-3)*23.03</f>
        <v/>
      </c>
      <c r="R42" s="76">
        <f>(0.005/SQRT(3))*23.03</f>
        <v/>
      </c>
      <c r="S42" s="76">
        <f>SQRT(L42^2+M42^2+N42^2+Q42^2+P42^2+R42^2)</f>
        <v/>
      </c>
      <c r="T42" s="77">
        <f>S42*2</f>
        <v/>
      </c>
      <c r="U42" s="75" t="inlineStr">
        <is>
          <t>%</t>
        </is>
      </c>
      <c r="V42" s="76" t="n"/>
      <c r="W42" s="78" t="n">
        <v>0.0163</v>
      </c>
    </row>
    <row r="43" ht="19.5" customHeight="1" s="35">
      <c r="A43" s="58" t="inlineStr">
        <is>
          <t>2 GHz</t>
        </is>
      </c>
      <c r="B43" s="73" t="inlineStr">
        <is>
          <t>report_val('A1')</t>
        </is>
      </c>
      <c r="C43" s="73" t="inlineStr">
        <is>
          <t>report_val('A1')</t>
        </is>
      </c>
      <c r="D43" s="73" t="inlineStr">
        <is>
          <t>report_val('A1')</t>
        </is>
      </c>
      <c r="E43" s="73" t="inlineStr">
        <is>
          <t>report_val('A1')</t>
        </is>
      </c>
      <c r="F43" s="73" t="inlineStr">
        <is>
          <t>report_val('A1')</t>
        </is>
      </c>
      <c r="G43" s="73" t="inlineStr">
        <is>
          <t>report_val('A1')</t>
        </is>
      </c>
      <c r="H43" s="73">
        <f>AVERAGE(C43:G43)</f>
        <v/>
      </c>
      <c r="I43" s="74">
        <f>MAX(T43,V43)</f>
        <v/>
      </c>
      <c r="J43" s="75" t="inlineStr">
        <is>
          <t>%</t>
        </is>
      </c>
      <c r="L43" s="76">
        <f>23.03*(SQRT(((H43-C43)^2+(H43-D43)^2+(H43-E43)^2+(H43-F43)^2+(H43-G43)^2)/20))</f>
        <v/>
      </c>
      <c r="M43" s="76">
        <f>W43/2*100</f>
        <v/>
      </c>
      <c r="N43" s="76">
        <f>(0.001/(2*SQRT(3)))*23.03</f>
        <v/>
      </c>
      <c r="O43" s="76" t="n"/>
      <c r="P43" s="76">
        <f>(4.343*(50*10^-9/SQRT(3))/10^-3)*23.03</f>
        <v/>
      </c>
      <c r="Q43" s="76">
        <f>(4.343*(100*10^-9/SQRT(3))/10^-3)*23.03</f>
        <v/>
      </c>
      <c r="R43" s="76">
        <f>(0.005/SQRT(3))*23.03</f>
        <v/>
      </c>
      <c r="S43" s="76">
        <f>SQRT(L43^2+M43^2+N43^2+Q43^2+P43^2+R43^2)</f>
        <v/>
      </c>
      <c r="T43" s="77">
        <f>S43*2</f>
        <v/>
      </c>
      <c r="U43" s="75" t="inlineStr">
        <is>
          <t>%</t>
        </is>
      </c>
      <c r="V43" s="76" t="n"/>
      <c r="W43" s="78" t="n">
        <v>0.0163</v>
      </c>
    </row>
    <row r="44" ht="19.5" customHeight="1" s="35">
      <c r="A44" s="58" t="inlineStr">
        <is>
          <t>3 GHz</t>
        </is>
      </c>
      <c r="B44" s="73" t="inlineStr">
        <is>
          <t>report_val('A1')</t>
        </is>
      </c>
      <c r="C44" s="73" t="inlineStr">
        <is>
          <t>report_val('A1')</t>
        </is>
      </c>
      <c r="D44" s="73" t="inlineStr">
        <is>
          <t>report_val('A1')</t>
        </is>
      </c>
      <c r="E44" s="73" t="inlineStr">
        <is>
          <t>report_val('A1')</t>
        </is>
      </c>
      <c r="F44" s="73" t="inlineStr">
        <is>
          <t>report_val('A1')</t>
        </is>
      </c>
      <c r="G44" s="73" t="inlineStr">
        <is>
          <t>report_val('A1')</t>
        </is>
      </c>
      <c r="H44" s="73">
        <f>AVERAGE(C44:G44)</f>
        <v/>
      </c>
      <c r="I44" s="74">
        <f>MAX(T44,V44)</f>
        <v/>
      </c>
      <c r="J44" s="75" t="inlineStr">
        <is>
          <t>%</t>
        </is>
      </c>
      <c r="L44" s="76">
        <f>23.03*(SQRT(((H44-C44)^2+(H44-D44)^2+(H44-E44)^2+(H44-F44)^2+(H44-G44)^2)/20))</f>
        <v/>
      </c>
      <c r="M44" s="76">
        <f>W44/2*100</f>
        <v/>
      </c>
      <c r="N44" s="76">
        <f>(0.001/(2*SQRT(3)))*23.03</f>
        <v/>
      </c>
      <c r="O44" s="76" t="n"/>
      <c r="P44" s="76">
        <f>(4.343*(50*10^-9/SQRT(3))/10^-3)*23.03</f>
        <v/>
      </c>
      <c r="Q44" s="76">
        <f>(4.343*(100*10^-9/SQRT(3))/10^-3)*23.03</f>
        <v/>
      </c>
      <c r="R44" s="76">
        <f>(0.005/SQRT(3))*23.03</f>
        <v/>
      </c>
      <c r="S44" s="76">
        <f>SQRT(L44^2+M44^2+N44^2+Q44^2+P44^2+R44^2)</f>
        <v/>
      </c>
      <c r="T44" s="77">
        <f>S44*2</f>
        <v/>
      </c>
      <c r="U44" s="75" t="inlineStr">
        <is>
          <t>%</t>
        </is>
      </c>
      <c r="V44" s="76" t="n"/>
      <c r="W44" s="78" t="n">
        <v>0.0163</v>
      </c>
    </row>
    <row r="45" ht="19.5" customHeight="1" s="35">
      <c r="A45" s="58" t="inlineStr">
        <is>
          <t>4 GHz</t>
        </is>
      </c>
      <c r="B45" s="73" t="inlineStr">
        <is>
          <t>report_val('A1')</t>
        </is>
      </c>
      <c r="C45" s="73" t="inlineStr">
        <is>
          <t>report_val('A1')</t>
        </is>
      </c>
      <c r="D45" s="73" t="inlineStr">
        <is>
          <t>report_val('A1')</t>
        </is>
      </c>
      <c r="E45" s="73" t="inlineStr">
        <is>
          <t>report_val('A1')</t>
        </is>
      </c>
      <c r="F45" s="73" t="inlineStr">
        <is>
          <t>report_val('A1')</t>
        </is>
      </c>
      <c r="G45" s="73" t="inlineStr">
        <is>
          <t>report_val('A1')</t>
        </is>
      </c>
      <c r="H45" s="73">
        <f>AVERAGE(C45:G45)</f>
        <v/>
      </c>
      <c r="I45" s="74">
        <f>MAX(T45,V45)</f>
        <v/>
      </c>
      <c r="J45" s="75" t="inlineStr">
        <is>
          <t>%</t>
        </is>
      </c>
      <c r="L45" s="76">
        <f>23.03*(SQRT(((H45-C45)^2+(H45-D45)^2+(H45-E45)^2+(H45-F45)^2+(H45-G45)^2)/20))</f>
        <v/>
      </c>
      <c r="M45" s="76">
        <f>W45/2*100</f>
        <v/>
      </c>
      <c r="N45" s="76">
        <f>(0.001/(2*SQRT(3)))*23.03</f>
        <v/>
      </c>
      <c r="O45" s="76" t="n"/>
      <c r="P45" s="76">
        <f>(4.343*(50*10^-9/SQRT(3))/10^-3)*23.03</f>
        <v/>
      </c>
      <c r="Q45" s="76">
        <f>(4.343*(100*10^-9/SQRT(3))/10^-3)*23.03</f>
        <v/>
      </c>
      <c r="R45" s="76">
        <f>(0.005/SQRT(3))*23.03</f>
        <v/>
      </c>
      <c r="S45" s="76">
        <f>SQRT(L45^2+M45^2+N45^2+Q45^2+P45^2+R45^2)</f>
        <v/>
      </c>
      <c r="T45" s="77">
        <f>S45*2</f>
        <v/>
      </c>
      <c r="U45" s="75" t="inlineStr">
        <is>
          <t>%</t>
        </is>
      </c>
      <c r="V45" s="76" t="n"/>
      <c r="W45" s="78" t="n">
        <v>0.0164</v>
      </c>
    </row>
    <row r="46" ht="19.5" customHeight="1" s="35">
      <c r="A46" s="58" t="inlineStr">
        <is>
          <t>5 GHz</t>
        </is>
      </c>
      <c r="B46" s="73" t="inlineStr">
        <is>
          <t>report_val('A1')</t>
        </is>
      </c>
      <c r="C46" s="73" t="inlineStr">
        <is>
          <t>report_val('A1')</t>
        </is>
      </c>
      <c r="D46" s="73" t="inlineStr">
        <is>
          <t>report_val('A1')</t>
        </is>
      </c>
      <c r="E46" s="73" t="inlineStr">
        <is>
          <t>report_val('A1')</t>
        </is>
      </c>
      <c r="F46" s="73" t="inlineStr">
        <is>
          <t>report_val('A1')</t>
        </is>
      </c>
      <c r="G46" s="73" t="inlineStr">
        <is>
          <t>report_val('A1')</t>
        </is>
      </c>
      <c r="H46" s="73">
        <f>AVERAGE(C46:G46)</f>
        <v/>
      </c>
      <c r="I46" s="74">
        <f>MAX(T46,V46)</f>
        <v/>
      </c>
      <c r="J46" s="75" t="inlineStr">
        <is>
          <t>%</t>
        </is>
      </c>
      <c r="L46" s="76">
        <f>23.03*(SQRT(((H46-C46)^2+(H46-D46)^2+(H46-E46)^2+(H46-F46)^2+(H46-G46)^2)/20))</f>
        <v/>
      </c>
      <c r="M46" s="76">
        <f>W46/2*100</f>
        <v/>
      </c>
      <c r="N46" s="76">
        <f>(0.001/(2*SQRT(3)))*23.03</f>
        <v/>
      </c>
      <c r="O46" s="76" t="n"/>
      <c r="P46" s="76">
        <f>(4.343*(50*10^-9/SQRT(3))/10^-3)*23.03</f>
        <v/>
      </c>
      <c r="Q46" s="76">
        <f>(4.343*(100*10^-9/SQRT(3))/10^-3)*23.03</f>
        <v/>
      </c>
      <c r="R46" s="76">
        <f>(0.005/SQRT(3))*23.03</f>
        <v/>
      </c>
      <c r="S46" s="76">
        <f>SQRT(L46^2+M46^2+N46^2+Q46^2+P46^2+R46^2)</f>
        <v/>
      </c>
      <c r="T46" s="77">
        <f>S46*2</f>
        <v/>
      </c>
      <c r="U46" s="75" t="inlineStr">
        <is>
          <t>%</t>
        </is>
      </c>
      <c r="V46" s="76" t="n"/>
      <c r="W46" s="78" t="n">
        <v>0.0166</v>
      </c>
    </row>
    <row r="47" ht="19.5" customHeight="1" s="35">
      <c r="A47" s="58" t="inlineStr">
        <is>
          <t>6 GHz</t>
        </is>
      </c>
      <c r="B47" s="73" t="inlineStr">
        <is>
          <t>report_val('A1')</t>
        </is>
      </c>
      <c r="C47" s="73" t="inlineStr">
        <is>
          <t>report_val('A1')</t>
        </is>
      </c>
      <c r="D47" s="73" t="inlineStr">
        <is>
          <t>report_val('A1')</t>
        </is>
      </c>
      <c r="E47" s="73" t="inlineStr">
        <is>
          <t>report_val('A1')</t>
        </is>
      </c>
      <c r="F47" s="73" t="inlineStr">
        <is>
          <t>report_val('A1')</t>
        </is>
      </c>
      <c r="G47" s="73" t="inlineStr">
        <is>
          <t>report_val('A1')</t>
        </is>
      </c>
      <c r="H47" s="73">
        <f>AVERAGE(C47:G47)</f>
        <v/>
      </c>
      <c r="I47" s="74">
        <f>MAX(T47,V47)</f>
        <v/>
      </c>
      <c r="J47" s="75" t="inlineStr">
        <is>
          <t>%</t>
        </is>
      </c>
      <c r="L47" s="76">
        <f>23.03*(SQRT(((H47-C47)^2+(H47-D47)^2+(H47-E47)^2+(H47-F47)^2+(H47-G47)^2)/20))</f>
        <v/>
      </c>
      <c r="M47" s="76">
        <f>W47/2*100</f>
        <v/>
      </c>
      <c r="N47" s="76">
        <f>(0.001/(2*SQRT(3)))*23.03</f>
        <v/>
      </c>
      <c r="O47" s="76" t="n"/>
      <c r="P47" s="76">
        <f>(4.343*(50*10^-9/SQRT(3))/10^-3)*23.03</f>
        <v/>
      </c>
      <c r="Q47" s="76">
        <f>(4.343*(100*10^-9/SQRT(3))/10^-3)*23.03</f>
        <v/>
      </c>
      <c r="R47" s="76">
        <f>(0.005/SQRT(3))*23.03</f>
        <v/>
      </c>
      <c r="S47" s="76">
        <f>SQRT(L47^2+M47^2+N47^2+Q47^2+P47^2+R47^2)</f>
        <v/>
      </c>
      <c r="T47" s="77">
        <f>S47*2</f>
        <v/>
      </c>
      <c r="U47" s="75" t="inlineStr">
        <is>
          <t>%</t>
        </is>
      </c>
      <c r="V47" s="76" t="n"/>
      <c r="W47" s="78" t="n">
        <v>0.0166</v>
      </c>
    </row>
    <row r="48" ht="19.5" customHeight="1" s="35">
      <c r="A48" s="58" t="inlineStr">
        <is>
          <t>7 GHz</t>
        </is>
      </c>
      <c r="B48" s="73" t="inlineStr">
        <is>
          <t>report_val('A1')</t>
        </is>
      </c>
      <c r="C48" s="73" t="inlineStr">
        <is>
          <t>report_val('A1')</t>
        </is>
      </c>
      <c r="D48" s="73" t="inlineStr">
        <is>
          <t>report_val('A1')</t>
        </is>
      </c>
      <c r="E48" s="73" t="inlineStr">
        <is>
          <t>report_val('A1')</t>
        </is>
      </c>
      <c r="F48" s="73" t="inlineStr">
        <is>
          <t>report_val('A1')</t>
        </is>
      </c>
      <c r="G48" s="73" t="inlineStr">
        <is>
          <t>report_val('A1')</t>
        </is>
      </c>
      <c r="H48" s="73">
        <f>AVERAGE(C48:G48)</f>
        <v/>
      </c>
      <c r="I48" s="74">
        <f>MAX(T48,V48)</f>
        <v/>
      </c>
      <c r="J48" s="75" t="inlineStr">
        <is>
          <t>%</t>
        </is>
      </c>
      <c r="L48" s="76">
        <f>23.03*(SQRT(((H48-C48)^2+(H48-D48)^2+(H48-E48)^2+(H48-F48)^2+(H48-G48)^2)/20))</f>
        <v/>
      </c>
      <c r="M48" s="76">
        <f>W48/2*100</f>
        <v/>
      </c>
      <c r="N48" s="76">
        <f>(0.001/(2*SQRT(3)))*23.03</f>
        <v/>
      </c>
      <c r="O48" s="76" t="n"/>
      <c r="P48" s="76">
        <f>(4.343*(50*10^-9/SQRT(3))/10^-3)*23.03</f>
        <v/>
      </c>
      <c r="Q48" s="76">
        <f>(4.343*(100*10^-9/SQRT(3))/10^-3)*23.03</f>
        <v/>
      </c>
      <c r="R48" s="76">
        <f>(0.005/SQRT(3))*23.03</f>
        <v/>
      </c>
      <c r="S48" s="76">
        <f>SQRT(L48^2+M48^2+N48^2+Q48^2+P48^2+R48^2)</f>
        <v/>
      </c>
      <c r="T48" s="77">
        <f>S48*2</f>
        <v/>
      </c>
      <c r="U48" s="75" t="inlineStr">
        <is>
          <t>%</t>
        </is>
      </c>
      <c r="V48" s="76" t="n"/>
      <c r="W48" s="78" t="n">
        <v>0.0167</v>
      </c>
    </row>
    <row r="49" ht="19.5" customHeight="1" s="35">
      <c r="A49" s="58" t="inlineStr">
        <is>
          <t>8 GHz</t>
        </is>
      </c>
      <c r="B49" s="73" t="inlineStr">
        <is>
          <t>report_val('A1')</t>
        </is>
      </c>
      <c r="C49" s="73" t="inlineStr">
        <is>
          <t>report_val('A1')</t>
        </is>
      </c>
      <c r="D49" s="73" t="inlineStr">
        <is>
          <t>report_val('A1')</t>
        </is>
      </c>
      <c r="E49" s="73" t="inlineStr">
        <is>
          <t>report_val('A1')</t>
        </is>
      </c>
      <c r="F49" s="73" t="inlineStr">
        <is>
          <t>report_val('A1')</t>
        </is>
      </c>
      <c r="G49" s="73" t="inlineStr">
        <is>
          <t>report_val('A1')</t>
        </is>
      </c>
      <c r="H49" s="73">
        <f>AVERAGE(C49:G49)</f>
        <v/>
      </c>
      <c r="I49" s="74">
        <f>MAX(T49,V49)</f>
        <v/>
      </c>
      <c r="J49" s="75" t="inlineStr">
        <is>
          <t>%</t>
        </is>
      </c>
      <c r="L49" s="76">
        <f>23.03*(SQRT(((H49-C49)^2+(H49-D49)^2+(H49-E49)^2+(H49-F49)^2+(H49-G49)^2)/20))</f>
        <v/>
      </c>
      <c r="M49" s="76">
        <f>W49/2*100</f>
        <v/>
      </c>
      <c r="N49" s="76">
        <f>(0.001/(2*SQRT(3)))*23.03</f>
        <v/>
      </c>
      <c r="O49" s="76" t="n"/>
      <c r="P49" s="76">
        <f>(4.343*(50*10^-9/SQRT(3))/10^-3)*23.03</f>
        <v/>
      </c>
      <c r="Q49" s="76">
        <f>(4.343*(100*10^-9/SQRT(3))/10^-3)*23.03</f>
        <v/>
      </c>
      <c r="R49" s="76">
        <f>(0.005/SQRT(3))*23.03</f>
        <v/>
      </c>
      <c r="S49" s="76">
        <f>SQRT(L49^2+M49^2+N49^2+Q49^2+P49^2+R49^2)</f>
        <v/>
      </c>
      <c r="T49" s="77">
        <f>S49*2</f>
        <v/>
      </c>
      <c r="U49" s="75" t="inlineStr">
        <is>
          <t>%</t>
        </is>
      </c>
      <c r="V49" s="76" t="n"/>
      <c r="W49" s="78" t="n">
        <v>0.0166</v>
      </c>
    </row>
    <row r="50" ht="19.5" customHeight="1" s="35">
      <c r="A50" s="58" t="inlineStr">
        <is>
          <t>9 GHz</t>
        </is>
      </c>
      <c r="B50" s="73" t="inlineStr">
        <is>
          <t>report_val('A1')</t>
        </is>
      </c>
      <c r="C50" s="73" t="inlineStr">
        <is>
          <t>report_val('A1')</t>
        </is>
      </c>
      <c r="D50" s="73" t="inlineStr">
        <is>
          <t>report_val('A1')</t>
        </is>
      </c>
      <c r="E50" s="73" t="inlineStr">
        <is>
          <t>report_val('A1')</t>
        </is>
      </c>
      <c r="F50" s="73" t="inlineStr">
        <is>
          <t>report_val('A1')</t>
        </is>
      </c>
      <c r="G50" s="73" t="inlineStr">
        <is>
          <t>report_val('A1')</t>
        </is>
      </c>
      <c r="H50" s="73">
        <f>AVERAGE(C50:G50)</f>
        <v/>
      </c>
      <c r="I50" s="74">
        <f>MAX(T50,V50)</f>
        <v/>
      </c>
      <c r="J50" s="75" t="inlineStr">
        <is>
          <t>%</t>
        </is>
      </c>
      <c r="L50" s="76">
        <f>23.03*(SQRT(((H50-C50)^2+(H50-D50)^2+(H50-E50)^2+(H50-F50)^2+(H50-G50)^2)/20))</f>
        <v/>
      </c>
      <c r="M50" s="76">
        <f>W50/2*100</f>
        <v/>
      </c>
      <c r="N50" s="76">
        <f>(0.001/(2*SQRT(3)))*23.03</f>
        <v/>
      </c>
      <c r="O50" s="76" t="n"/>
      <c r="P50" s="76">
        <f>(4.343*(50*10^-9/SQRT(3))/10^-3)*23.03</f>
        <v/>
      </c>
      <c r="Q50" s="76">
        <f>(4.343*(100*10^-9/SQRT(3))/10^-3)*23.03</f>
        <v/>
      </c>
      <c r="R50" s="76">
        <f>(0.005/SQRT(3))*23.03</f>
        <v/>
      </c>
      <c r="S50" s="76">
        <f>SQRT(L50^2+M50^2+N50^2+Q50^2+P50^2+R50^2)</f>
        <v/>
      </c>
      <c r="T50" s="77">
        <f>S50*2</f>
        <v/>
      </c>
      <c r="U50" s="75" t="inlineStr">
        <is>
          <t>%</t>
        </is>
      </c>
      <c r="V50" s="76" t="n"/>
      <c r="W50" s="78" t="n">
        <v>0.0166</v>
      </c>
    </row>
    <row r="51" ht="19.5" customHeight="1" s="35">
      <c r="A51" s="58" t="inlineStr">
        <is>
          <t>10 GHz</t>
        </is>
      </c>
      <c r="B51" s="73" t="inlineStr">
        <is>
          <t>report_val('A1')</t>
        </is>
      </c>
      <c r="C51" s="73" t="inlineStr">
        <is>
          <t>report_val('A1')</t>
        </is>
      </c>
      <c r="D51" s="73" t="inlineStr">
        <is>
          <t>report_val('A1')</t>
        </is>
      </c>
      <c r="E51" s="73" t="inlineStr">
        <is>
          <t>report_val('A1')</t>
        </is>
      </c>
      <c r="F51" s="73" t="inlineStr">
        <is>
          <t>report_val('A1')</t>
        </is>
      </c>
      <c r="G51" s="73" t="inlineStr">
        <is>
          <t>report_val('A1')</t>
        </is>
      </c>
      <c r="H51" s="73">
        <f>AVERAGE(C51:G51)</f>
        <v/>
      </c>
      <c r="I51" s="74">
        <f>MAX(T51,V51)</f>
        <v/>
      </c>
      <c r="J51" s="75" t="inlineStr">
        <is>
          <t>%</t>
        </is>
      </c>
      <c r="L51" s="76">
        <f>23.03*(SQRT(((H51-C51)^2+(H51-D51)^2+(H51-E51)^2+(H51-F51)^2+(H51-G51)^2)/20))</f>
        <v/>
      </c>
      <c r="M51" s="76">
        <f>W51/2*100</f>
        <v/>
      </c>
      <c r="N51" s="76">
        <f>(0.001/(2*SQRT(3)))*23.03</f>
        <v/>
      </c>
      <c r="O51" s="76" t="n"/>
      <c r="P51" s="76">
        <f>(4.343*(50*10^-9/SQRT(3))/10^-3)*23.03</f>
        <v/>
      </c>
      <c r="Q51" s="76">
        <f>(4.343*(100*10^-9/SQRT(3))/10^-3)*23.03</f>
        <v/>
      </c>
      <c r="R51" s="76">
        <f>(0.005/SQRT(3))*23.03</f>
        <v/>
      </c>
      <c r="S51" s="76">
        <f>SQRT(L51^2+M51^2+N51^2+Q51^2+P51^2+R51^2)</f>
        <v/>
      </c>
      <c r="T51" s="77">
        <f>S51*2</f>
        <v/>
      </c>
      <c r="U51" s="75" t="inlineStr">
        <is>
          <t>%</t>
        </is>
      </c>
      <c r="V51" s="76" t="n"/>
      <c r="W51" s="78" t="n">
        <v>0.0178</v>
      </c>
    </row>
    <row r="52" ht="19.5" customHeight="1" s="35">
      <c r="A52" s="58" t="inlineStr">
        <is>
          <t>11 GHz</t>
        </is>
      </c>
      <c r="B52" s="73" t="inlineStr">
        <is>
          <t>report_val('A1')</t>
        </is>
      </c>
      <c r="C52" s="73" t="inlineStr">
        <is>
          <t>report_val('A1')</t>
        </is>
      </c>
      <c r="D52" s="73" t="inlineStr">
        <is>
          <t>report_val('A1')</t>
        </is>
      </c>
      <c r="E52" s="73" t="inlineStr">
        <is>
          <t>report_val('A1')</t>
        </is>
      </c>
      <c r="F52" s="73" t="inlineStr">
        <is>
          <t>report_val('A1')</t>
        </is>
      </c>
      <c r="G52" s="73" t="inlineStr">
        <is>
          <t>report_val('A1')</t>
        </is>
      </c>
      <c r="H52" s="73">
        <f>AVERAGE(C52:G52)</f>
        <v/>
      </c>
      <c r="I52" s="74">
        <f>MAX(T52,V52)</f>
        <v/>
      </c>
      <c r="J52" s="75" t="inlineStr">
        <is>
          <t>%</t>
        </is>
      </c>
      <c r="L52" s="76">
        <f>23.03*(SQRT(((H52-C52)^2+(H52-D52)^2+(H52-E52)^2+(H52-F52)^2+(H52-G52)^2)/20))</f>
        <v/>
      </c>
      <c r="M52" s="76">
        <f>W52/2*100</f>
        <v/>
      </c>
      <c r="N52" s="76">
        <f>(0.001/(2*SQRT(3)))*23.03</f>
        <v/>
      </c>
      <c r="O52" s="76" t="n"/>
      <c r="P52" s="76">
        <f>(4.343*(50*10^-9/SQRT(3))/10^-3)*23.03</f>
        <v/>
      </c>
      <c r="Q52" s="76">
        <f>(4.343*(100*10^-9/SQRT(3))/10^-3)*23.03</f>
        <v/>
      </c>
      <c r="R52" s="76">
        <f>(0.005/SQRT(3))*23.03</f>
        <v/>
      </c>
      <c r="S52" s="76">
        <f>SQRT(L52^2+M52^2+N52^2+Q52^2+P52^2+R52^2)</f>
        <v/>
      </c>
      <c r="T52" s="77">
        <f>S52*2</f>
        <v/>
      </c>
      <c r="U52" s="75" t="inlineStr">
        <is>
          <t>%</t>
        </is>
      </c>
      <c r="V52" s="76" t="n"/>
      <c r="W52" s="78" t="n">
        <v>0.018</v>
      </c>
    </row>
    <row r="53" ht="19.5" customHeight="1" s="35">
      <c r="A53" s="58" t="inlineStr">
        <is>
          <t>12 GHz</t>
        </is>
      </c>
      <c r="B53" s="73" t="inlineStr">
        <is>
          <t>report_val('A1')</t>
        </is>
      </c>
      <c r="C53" s="73" t="inlineStr">
        <is>
          <t>report_val('A1')</t>
        </is>
      </c>
      <c r="D53" s="73" t="inlineStr">
        <is>
          <t>report_val('A1')</t>
        </is>
      </c>
      <c r="E53" s="73" t="inlineStr">
        <is>
          <t>report_val('A1')</t>
        </is>
      </c>
      <c r="F53" s="73" t="inlineStr">
        <is>
          <t>report_val('A1')</t>
        </is>
      </c>
      <c r="G53" s="73" t="inlineStr">
        <is>
          <t>report_val('A1')</t>
        </is>
      </c>
      <c r="H53" s="73">
        <f>AVERAGE(C53:G53)</f>
        <v/>
      </c>
      <c r="I53" s="74">
        <f>MAX(T53,V53)</f>
        <v/>
      </c>
      <c r="J53" s="75" t="inlineStr">
        <is>
          <t>%</t>
        </is>
      </c>
      <c r="L53" s="76">
        <f>23.03*(SQRT(((H53-C53)^2+(H53-D53)^2+(H53-E53)^2+(H53-F53)^2+(H53-G53)^2)/20))</f>
        <v/>
      </c>
      <c r="M53" s="76">
        <f>W53/2*100</f>
        <v/>
      </c>
      <c r="N53" s="76">
        <f>(0.001/(2*SQRT(3)))*23.03</f>
        <v/>
      </c>
      <c r="O53" s="76" t="n"/>
      <c r="P53" s="76">
        <f>(4.343*(50*10^-9/SQRT(3))/10^-3)*23.03</f>
        <v/>
      </c>
      <c r="Q53" s="76">
        <f>(4.343*(100*10^-9/SQRT(3))/10^-3)*23.03</f>
        <v/>
      </c>
      <c r="R53" s="76">
        <f>(0.005/SQRT(3))*23.03</f>
        <v/>
      </c>
      <c r="S53" s="76">
        <f>SQRT(L53^2+M53^2+N53^2+Q53^2+P53^2+R53^2)</f>
        <v/>
      </c>
      <c r="T53" s="77">
        <f>S53*2</f>
        <v/>
      </c>
      <c r="U53" s="75" t="inlineStr">
        <is>
          <t>%</t>
        </is>
      </c>
      <c r="V53" s="76" t="n"/>
      <c r="W53" s="78" t="n">
        <v>0.0183</v>
      </c>
    </row>
    <row r="54" ht="19.5" customHeight="1" s="35">
      <c r="A54" s="58" t="inlineStr">
        <is>
          <t>13 GHz</t>
        </is>
      </c>
      <c r="B54" s="73" t="inlineStr">
        <is>
          <t>report_val('A1')</t>
        </is>
      </c>
      <c r="C54" s="73" t="inlineStr">
        <is>
          <t>report_val('A1')</t>
        </is>
      </c>
      <c r="D54" s="73" t="inlineStr">
        <is>
          <t>report_val('A1')</t>
        </is>
      </c>
      <c r="E54" s="73" t="inlineStr">
        <is>
          <t>report_val('A1')</t>
        </is>
      </c>
      <c r="F54" s="73" t="inlineStr">
        <is>
          <t>report_val('A1')</t>
        </is>
      </c>
      <c r="G54" s="73" t="inlineStr">
        <is>
          <t>report_val('A1')</t>
        </is>
      </c>
      <c r="H54" s="73">
        <f>AVERAGE(C54:G54)</f>
        <v/>
      </c>
      <c r="I54" s="74">
        <f>MAX(T54,V54)</f>
        <v/>
      </c>
      <c r="J54" s="75" t="inlineStr">
        <is>
          <t>%</t>
        </is>
      </c>
      <c r="L54" s="76">
        <f>23.03*(SQRT(((H54-C54)^2+(H54-D54)^2+(H54-E54)^2+(H54-F54)^2+(H54-G54)^2)/20))</f>
        <v/>
      </c>
      <c r="M54" s="76">
        <f>W54/2*100</f>
        <v/>
      </c>
      <c r="N54" s="76">
        <f>(0.001/(2*SQRT(3)))*23.03</f>
        <v/>
      </c>
      <c r="O54" s="76" t="n"/>
      <c r="P54" s="76">
        <f>(4.343*(50*10^-9/SQRT(3))/10^-3)*23.03</f>
        <v/>
      </c>
      <c r="Q54" s="76">
        <f>(4.343*(100*10^-9/SQRT(3))/10^-3)*23.03</f>
        <v/>
      </c>
      <c r="R54" s="76">
        <f>(0.005/SQRT(3))*23.03</f>
        <v/>
      </c>
      <c r="S54" s="76">
        <f>SQRT(L54^2+M54^2+N54^2+Q54^2+P54^2+R54^2)</f>
        <v/>
      </c>
      <c r="T54" s="77">
        <f>S54*2</f>
        <v/>
      </c>
      <c r="U54" s="75" t="inlineStr">
        <is>
          <t>%</t>
        </is>
      </c>
      <c r="V54" s="76" t="n"/>
      <c r="W54" s="78" t="n">
        <v>0.0183</v>
      </c>
    </row>
    <row r="55" ht="19.5" customHeight="1" s="35">
      <c r="A55" s="58" t="inlineStr">
        <is>
          <t>14 GHz</t>
        </is>
      </c>
      <c r="B55" s="73" t="inlineStr">
        <is>
          <t>report_val('A1')</t>
        </is>
      </c>
      <c r="C55" s="73" t="inlineStr">
        <is>
          <t>report_val('A1')</t>
        </is>
      </c>
      <c r="D55" s="73" t="inlineStr">
        <is>
          <t>report_val('A1')</t>
        </is>
      </c>
      <c r="E55" s="73" t="inlineStr">
        <is>
          <t>report_val('A1')</t>
        </is>
      </c>
      <c r="F55" s="73" t="inlineStr">
        <is>
          <t>report_val('A1')</t>
        </is>
      </c>
      <c r="G55" s="73" t="inlineStr">
        <is>
          <t>report_val('A1')</t>
        </is>
      </c>
      <c r="H55" s="73">
        <f>AVERAGE(C55:G55)</f>
        <v/>
      </c>
      <c r="I55" s="74">
        <f>MAX(T55,V55)</f>
        <v/>
      </c>
      <c r="J55" s="75" t="inlineStr">
        <is>
          <t>%</t>
        </is>
      </c>
      <c r="L55" s="76">
        <f>23.03*(SQRT(((H55-C55)^2+(H55-D55)^2+(H55-E55)^2+(H55-F55)^2+(H55-G55)^2)/20))</f>
        <v/>
      </c>
      <c r="M55" s="76">
        <f>W55/2*100</f>
        <v/>
      </c>
      <c r="N55" s="76">
        <f>(0.001/(2*SQRT(3)))*23.03</f>
        <v/>
      </c>
      <c r="O55" s="76" t="n"/>
      <c r="P55" s="76">
        <f>(4.343*(50*10^-9/SQRT(3))/10^-3)*23.03</f>
        <v/>
      </c>
      <c r="Q55" s="76">
        <f>(4.343*(100*10^-9/SQRT(3))/10^-3)*23.03</f>
        <v/>
      </c>
      <c r="R55" s="76">
        <f>(0.005/SQRT(3))*23.03</f>
        <v/>
      </c>
      <c r="S55" s="76">
        <f>SQRT(L55^2+M55^2+N55^2+Q55^2+P55^2+R55^2)</f>
        <v/>
      </c>
      <c r="T55" s="77">
        <f>S55*2</f>
        <v/>
      </c>
      <c r="U55" s="75" t="inlineStr">
        <is>
          <t>%</t>
        </is>
      </c>
      <c r="V55" s="76" t="n"/>
      <c r="W55" s="78" t="n">
        <v>0.0183</v>
      </c>
    </row>
    <row r="56" ht="19.5" customHeight="1" s="35">
      <c r="A56" s="58" t="inlineStr">
        <is>
          <t>15 GHz</t>
        </is>
      </c>
      <c r="B56" s="73" t="inlineStr">
        <is>
          <t>report_val('A1')</t>
        </is>
      </c>
      <c r="C56" s="73" t="inlineStr">
        <is>
          <t>report_val('A1')</t>
        </is>
      </c>
      <c r="D56" s="73" t="inlineStr">
        <is>
          <t>report_val('A1')</t>
        </is>
      </c>
      <c r="E56" s="73" t="inlineStr">
        <is>
          <t>report_val('A1')</t>
        </is>
      </c>
      <c r="F56" s="73" t="inlineStr">
        <is>
          <t>report_val('A1')</t>
        </is>
      </c>
      <c r="G56" s="73" t="inlineStr">
        <is>
          <t>report_val('A1')</t>
        </is>
      </c>
      <c r="H56" s="73">
        <f>AVERAGE(C56:G56)</f>
        <v/>
      </c>
      <c r="I56" s="74">
        <f>MAX(T56,V56)</f>
        <v/>
      </c>
      <c r="J56" s="75" t="inlineStr">
        <is>
          <t>%</t>
        </is>
      </c>
      <c r="L56" s="76">
        <f>23.03*(SQRT(((H56-C56)^2+(H56-D56)^2+(H56-E56)^2+(H56-F56)^2+(H56-G56)^2)/20))</f>
        <v/>
      </c>
      <c r="M56" s="76">
        <f>W56/2*100</f>
        <v/>
      </c>
      <c r="N56" s="76">
        <f>(0.001/(2*SQRT(3)))*23.03</f>
        <v/>
      </c>
      <c r="O56" s="76" t="n"/>
      <c r="P56" s="76">
        <f>(4.343*(50*10^-9/SQRT(3))/10^-3)*23.03</f>
        <v/>
      </c>
      <c r="Q56" s="76">
        <f>(4.343*(100*10^-9/SQRT(3))/10^-3)*23.03</f>
        <v/>
      </c>
      <c r="R56" s="76">
        <f>(0.005/SQRT(3))*23.03</f>
        <v/>
      </c>
      <c r="S56" s="76">
        <f>SQRT(L56^2+M56^2+N56^2+Q56^2+P56^2+R56^2)</f>
        <v/>
      </c>
      <c r="T56" s="77">
        <f>S56*2</f>
        <v/>
      </c>
      <c r="U56" s="75" t="inlineStr">
        <is>
          <t>%</t>
        </is>
      </c>
      <c r="V56" s="76" t="n"/>
      <c r="W56" s="78" t="n">
        <v>0.0183</v>
      </c>
    </row>
    <row r="57" ht="19.5" customHeight="1" s="35">
      <c r="A57" s="58" t="inlineStr">
        <is>
          <t>16 GHz</t>
        </is>
      </c>
      <c r="B57" s="73" t="inlineStr">
        <is>
          <t>report_val('A1')</t>
        </is>
      </c>
      <c r="C57" s="73" t="inlineStr">
        <is>
          <t>report_val('A1')</t>
        </is>
      </c>
      <c r="D57" s="73" t="inlineStr">
        <is>
          <t>report_val('A1')</t>
        </is>
      </c>
      <c r="E57" s="73" t="inlineStr">
        <is>
          <t>report_val('A1')</t>
        </is>
      </c>
      <c r="F57" s="73" t="inlineStr">
        <is>
          <t>report_val('A1')</t>
        </is>
      </c>
      <c r="G57" s="73" t="inlineStr">
        <is>
          <t>report_val('A1')</t>
        </is>
      </c>
      <c r="H57" s="73">
        <f>AVERAGE(C57:G57)</f>
        <v/>
      </c>
      <c r="I57" s="74">
        <f>MAX(T57,V57)</f>
        <v/>
      </c>
      <c r="J57" s="75" t="inlineStr">
        <is>
          <t>%</t>
        </is>
      </c>
      <c r="L57" s="76">
        <f>23.03*(SQRT(((H57-C57)^2+(H57-D57)^2+(H57-E57)^2+(H57-F57)^2+(H57-G57)^2)/20))</f>
        <v/>
      </c>
      <c r="M57" s="76">
        <f>W57/2*100</f>
        <v/>
      </c>
      <c r="N57" s="76">
        <f>(0.001/(2*SQRT(3)))*23.03</f>
        <v/>
      </c>
      <c r="O57" s="76" t="n"/>
      <c r="P57" s="76">
        <f>(4.343*(50*10^-9/SQRT(3))/10^-3)*23.03</f>
        <v/>
      </c>
      <c r="Q57" s="76">
        <f>(4.343*(100*10^-9/SQRT(3))/10^-3)*23.03</f>
        <v/>
      </c>
      <c r="R57" s="76">
        <f>(0.005/SQRT(3))*23.03</f>
        <v/>
      </c>
      <c r="S57" s="76">
        <f>SQRT(L57^2+M57^2+N57^2+Q57^2+P57^2+R57^2)</f>
        <v/>
      </c>
      <c r="T57" s="77">
        <f>S57*2</f>
        <v/>
      </c>
      <c r="U57" s="75" t="inlineStr">
        <is>
          <t>%</t>
        </is>
      </c>
      <c r="V57" s="76" t="n"/>
      <c r="W57" s="78" t="n">
        <v>0.0183</v>
      </c>
    </row>
    <row r="58" ht="19.5" customHeight="1" s="35">
      <c r="A58" s="58" t="inlineStr">
        <is>
          <t>17 GHz</t>
        </is>
      </c>
      <c r="B58" s="73" t="inlineStr">
        <is>
          <t>report_val('A1')</t>
        </is>
      </c>
      <c r="C58" s="73" t="inlineStr">
        <is>
          <t>report_val('A1')</t>
        </is>
      </c>
      <c r="D58" s="73" t="inlineStr">
        <is>
          <t>report_val('A1')</t>
        </is>
      </c>
      <c r="E58" s="73" t="inlineStr">
        <is>
          <t>report_val('A1')</t>
        </is>
      </c>
      <c r="F58" s="73" t="inlineStr">
        <is>
          <t>report_val('A1')</t>
        </is>
      </c>
      <c r="G58" s="73" t="inlineStr">
        <is>
          <t>report_val('A1')</t>
        </is>
      </c>
      <c r="H58" s="73">
        <f>AVERAGE(C58:G58)</f>
        <v/>
      </c>
      <c r="I58" s="74">
        <f>MAX(T58,V58)</f>
        <v/>
      </c>
      <c r="J58" s="75" t="inlineStr">
        <is>
          <t>%</t>
        </is>
      </c>
      <c r="L58" s="76">
        <f>23.03*(SQRT(((H58-C58)^2+(H58-D58)^2+(H58-E58)^2+(H58-F58)^2+(H58-G58)^2)/20))</f>
        <v/>
      </c>
      <c r="M58" s="76">
        <f>W58/2*100</f>
        <v/>
      </c>
      <c r="N58" s="76">
        <f>(0.001/(2*SQRT(3)))*23.03</f>
        <v/>
      </c>
      <c r="O58" s="76" t="n"/>
      <c r="P58" s="76">
        <f>(4.343*(50*10^-9/SQRT(3))/10^-3)*23.03</f>
        <v/>
      </c>
      <c r="Q58" s="76">
        <f>(4.343*(100*10^-9/SQRT(3))/10^-3)*23.03</f>
        <v/>
      </c>
      <c r="R58" s="76">
        <f>(0.005/SQRT(3))*23.03</f>
        <v/>
      </c>
      <c r="S58" s="76">
        <f>SQRT(L58^2+M58^2+N58^2+Q58^2+P58^2+R58^2)</f>
        <v/>
      </c>
      <c r="T58" s="77">
        <f>S58*2</f>
        <v/>
      </c>
      <c r="U58" s="75" t="inlineStr">
        <is>
          <t>%</t>
        </is>
      </c>
      <c r="V58" s="76" t="n"/>
      <c r="W58" s="78" t="n">
        <v>0.0183</v>
      </c>
    </row>
    <row r="59" ht="19.5" customHeight="1" s="35">
      <c r="A59" s="58" t="inlineStr">
        <is>
          <t>18 GHz</t>
        </is>
      </c>
      <c r="B59" s="73" t="inlineStr">
        <is>
          <t>report_val('A1')</t>
        </is>
      </c>
      <c r="C59" s="73" t="inlineStr">
        <is>
          <t>report_val('A1')</t>
        </is>
      </c>
      <c r="D59" s="73" t="inlineStr">
        <is>
          <t>report_val('A1')</t>
        </is>
      </c>
      <c r="E59" s="73" t="inlineStr">
        <is>
          <t>report_val('A1')</t>
        </is>
      </c>
      <c r="F59" s="73" t="inlineStr">
        <is>
          <t>report_val('A1')</t>
        </is>
      </c>
      <c r="G59" s="73" t="inlineStr">
        <is>
          <t>report_val('A1')</t>
        </is>
      </c>
      <c r="H59" s="73">
        <f>AVERAGE(C59:G59)</f>
        <v/>
      </c>
      <c r="I59" s="74">
        <f>MAX(T59,V59)</f>
        <v/>
      </c>
      <c r="J59" s="75" t="inlineStr">
        <is>
          <t>%</t>
        </is>
      </c>
      <c r="L59" s="76">
        <f>23.03*(SQRT(((H59-C59)^2+(H59-D59)^2+(H59-E59)^2+(H59-F59)^2+(H59-G59)^2)/20))</f>
        <v/>
      </c>
      <c r="M59" s="76">
        <f>W59/2*100</f>
        <v/>
      </c>
      <c r="N59" s="76">
        <f>(0.001/(2*SQRT(3)))*23.03</f>
        <v/>
      </c>
      <c r="O59" s="76" t="n"/>
      <c r="P59" s="76">
        <f>4.343*(50*10^-9/SQRT(3))/10^-3</f>
        <v/>
      </c>
      <c r="Q59" s="76">
        <f>(4.343*(100*10^-9/SQRT(3))/10^-3)*23.03</f>
        <v/>
      </c>
      <c r="R59" s="76">
        <f>(0.005/SQRT(3))*23.03</f>
        <v/>
      </c>
      <c r="S59" s="76">
        <f>SQRT(L59^2+M59^2+N59^2+Q59^2+P59^2+R59^2)</f>
        <v/>
      </c>
      <c r="T59" s="77">
        <f>S59*2</f>
        <v/>
      </c>
      <c r="U59" s="75" t="inlineStr">
        <is>
          <t>%</t>
        </is>
      </c>
      <c r="V59" s="76" t="n"/>
      <c r="W59" s="78" t="n">
        <v>0.0183</v>
      </c>
    </row>
    <row r="60" ht="18.75" customHeight="1" s="35"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</row>
  </sheetData>
  <mergeCells count="26">
    <mergeCell ref="A5:J5"/>
    <mergeCell ref="D3:J3"/>
    <mergeCell ref="B23:D23"/>
    <mergeCell ref="A29:J29"/>
    <mergeCell ref="A20:J20"/>
    <mergeCell ref="L37:L38"/>
    <mergeCell ref="N37:N38"/>
    <mergeCell ref="I36:J38"/>
    <mergeCell ref="C18:D18"/>
    <mergeCell ref="B36:B38"/>
    <mergeCell ref="C36:H36"/>
    <mergeCell ref="R37:R38"/>
    <mergeCell ref="S37:S38"/>
    <mergeCell ref="A3:B3"/>
    <mergeCell ref="M37:M38"/>
    <mergeCell ref="T37:U38"/>
    <mergeCell ref="C37:H37"/>
    <mergeCell ref="P37:P38"/>
    <mergeCell ref="G27:I27"/>
    <mergeCell ref="G23:I23"/>
    <mergeCell ref="A21:J21"/>
    <mergeCell ref="B27:D27"/>
    <mergeCell ref="V37:V38"/>
    <mergeCell ref="W37:W38"/>
    <mergeCell ref="O37:O38"/>
    <mergeCell ref="Q37:Q3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NHAT TRUONG VO VAN</dc:creator>
  <dc:language xmlns:dc="http://purl.org/dc/elements/1.1/">en-US</dc:language>
  <dcterms:created xmlns:dcterms="http://purl.org/dc/terms/" xmlns:xsi="http://www.w3.org/2001/XMLSchema-instance" xsi:type="dcterms:W3CDTF">2026-08-14T07:01:52Z</dcterms:created>
  <dcterms:modified xmlns:dcterms="http://purl.org/dc/terms/" xmlns:xsi="http://www.w3.org/2001/XMLSchema-instance" xsi:type="dcterms:W3CDTF">2026-10-01T10:26:59Z</dcterms:modified>
  <cp:revision>3</cp:revision>
</cp:coreProperties>
</file>