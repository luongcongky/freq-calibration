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<sst xmlns="http://schemas.openxmlformats.org/spreadsheetml/2006/main" count="214" uniqueCount="48">
  <si>
    <t xml:space="preserve">Bảng A2 - Xác định độ chính xác đo mức công suất tuyệt đối (tại 0 dBm)</t>
  </si>
  <si>
    <t xml:space="preserve">Tần số thiết lập</t>
  </si>
  <si>
    <t xml:space="preserve">Công suất trên NRVD (dBm)</t>
  </si>
  <si>
    <t xml:space="preserve">Công suất đo được trên N1922A</t>
  </si>
  <si>
    <t xml:space="preserve">Độ KĐBĐ</t>
  </si>
  <si>
    <t xml:space="preserve">(mức công suất</t>
  </si>
  <si>
    <t xml:space="preserve">( mức công suất 0 dBm)</t>
  </si>
  <si>
    <t xml:space="preserve">ĐKĐBĐ loại A</t>
  </si>
  <si>
    <t xml:space="preserve">ĐKĐBĐ của chuẩn</t>
  </si>
  <si>
    <t xml:space="preserve">Độ phân giải TB</t>
  </si>
  <si>
    <t xml:space="preserve">ĐKBDĐ mismacth</t>
  </si>
  <si>
    <t xml:space="preserve">ĐKBDĐ zero </t>
  </si>
  <si>
    <t xml:space="preserve">ĐKBDĐ noise</t>
  </si>
  <si>
    <t xml:space="preserve">ĐKBDĐ connector</t>
  </si>
  <si>
    <t xml:space="preserve">ĐKĐBĐ tổng hợp</t>
  </si>
  <si>
    <t xml:space="preserve">ĐKĐBĐ mở rộng</t>
  </si>
  <si>
    <t xml:space="preserve">CMC</t>
  </si>
  <si>
    <t xml:space="preserve">ĐKĐBĐ  trên giấy</t>
  </si>
  <si>
    <t xml:space="preserve">0 dBm)</t>
  </si>
  <si>
    <t xml:space="preserve">lần 1</t>
  </si>
  <si>
    <t xml:space="preserve">lần 2</t>
  </si>
  <si>
    <t xml:space="preserve">lần 3</t>
  </si>
  <si>
    <t xml:space="preserve">lần 4</t>
  </si>
  <si>
    <t xml:space="preserve">lần 5</t>
  </si>
  <si>
    <t xml:space="preserve">TB</t>
  </si>
  <si>
    <t xml:space="preserve">10 MHz</t>
  </si>
  <si>
    <t xml:space="preserve">report_val('A1')</t>
  </si>
  <si>
    <t xml:space="preserve">%</t>
  </si>
  <si>
    <t xml:space="preserve">50 MHz</t>
  </si>
  <si>
    <t xml:space="preserve">500 MHz</t>
  </si>
  <si>
    <t xml:space="preserve">1 GHz</t>
  </si>
  <si>
    <t xml:space="preserve">2 GHz</t>
  </si>
  <si>
    <t xml:space="preserve">3 GHz</t>
  </si>
  <si>
    <t xml:space="preserve">4 GHz</t>
  </si>
  <si>
    <t xml:space="preserve">5 GHz</t>
  </si>
  <si>
    <t xml:space="preserve">6 GHz</t>
  </si>
  <si>
    <t xml:space="preserve">7 GHz</t>
  </si>
  <si>
    <t xml:space="preserve">8 GHz</t>
  </si>
  <si>
    <t xml:space="preserve">9 GHz</t>
  </si>
  <si>
    <t xml:space="preserve">10 GHz</t>
  </si>
  <si>
    <t xml:space="preserve">11 GHz</t>
  </si>
  <si>
    <t xml:space="preserve">12 GHz</t>
  </si>
  <si>
    <t xml:space="preserve">13 GHz</t>
  </si>
  <si>
    <t xml:space="preserve">14 GHz</t>
  </si>
  <si>
    <t xml:space="preserve">15 GHz</t>
  </si>
  <si>
    <t xml:space="preserve">16 GHz</t>
  </si>
  <si>
    <t xml:space="preserve">17 GHz</t>
  </si>
  <si>
    <t xml:space="preserve">18 GHz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</si>
</sst>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0%"/>
  </numFmts>
  <fonts count="10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Times New Roman"/>
      <family val="1"/>
      <charset val="1"/>
    </font>
    <font>
      <b val="true"/>
      <sz val="13"/>
      <color rgb="FF000000"/>
      <name val="Times New Roman"/>
      <family val="1"/>
      <charset val="1"/>
    </font>
    <font>
      <sz val="14"/>
      <color theme="1"/>
      <name val="Times New Roman"/>
      <family val="1"/>
      <charset val="1"/>
    </font>
    <font>
      <b val="true"/>
      <sz val="14"/>
      <name val="Calibri Light"/>
      <family val="1"/>
      <charset val="1"/>
    </font>
    <font>
      <b val="true"/>
      <sz val="14"/>
      <color rgb="FFFF0000"/>
      <name val="Calibri Light"/>
      <family val="1"/>
      <charset val="1"/>
    </font>
    <font>
      <sz val="14"/>
      <color theme="1"/>
      <name val="Calibri Light"/>
      <family val="1"/>
      <charset val="1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W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9" activeCellId="0" sqref="J2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.42"/>
    <col collapsed="false" customWidth="true" hidden="false" outlineLevel="0" max="2" min="2" style="0" width="14.42"/>
    <col collapsed="false" customWidth="true" hidden="false" outlineLevel="0" max="8" min="8" style="0" width="11.29"/>
    <col collapsed="false" customWidth="true" hidden="false" outlineLevel="0" max="9" min="9" style="0" width="6.85"/>
    <col collapsed="false" customWidth="true" hidden="false" outlineLevel="0" max="10" min="10" style="0" width="4.29"/>
    <col collapsed="false" customWidth="true" hidden="false" outlineLevel="0" max="12" min="12" style="0" width="14.14"/>
    <col collapsed="false" customWidth="true" hidden="false" outlineLevel="0" max="13" min="13" style="0" width="8.15"/>
    <col collapsed="false" customWidth="true" hidden="false" outlineLevel="0" max="15" min="14" style="0" width="13.86"/>
    <col collapsed="false" customWidth="true" hidden="false" outlineLevel="0" max="16" min="16" style="0" width="13.71"/>
    <col collapsed="false" customWidth="true" hidden="false" outlineLevel="0" max="17" min="17" style="0" width="12.42"/>
    <col collapsed="false" customWidth="true" hidden="false" outlineLevel="0" max="18" min="18" style="0" width="11.57"/>
    <col collapsed="false" customWidth="true" hidden="false" outlineLevel="0" max="19" min="19" style="0" width="13.71"/>
    <col collapsed="false" customWidth="true" hidden="false" outlineLevel="0" max="20" min="20" style="0" width="6.29"/>
    <col collapsed="false" customWidth="true" hidden="false" outlineLevel="0" max="21" min="21" style="0" width="4.42"/>
    <col collapsed="false" customWidth="true" hidden="false" outlineLevel="0" max="23" min="23" style="0" width="8.29"/>
  </cols>
  <sheetData>
    <row r="2" customFormat="false" ht="19.5" hidden="false" customHeight="true" outlineLevel="0" collapsed="false">
      <c r="A2" s="1" t="s">
        <v>0</v>
      </c>
      <c r="B2" s="1"/>
    </row>
    <row r="3" customFormat="false" ht="17.25" hidden="false" customHeight="true" outlineLevel="0" collapsed="false">
      <c r="A3" s="2" t="s">
        <v>1</v>
      </c>
      <c r="B3" s="3" t="s">
        <v>2</v>
      </c>
      <c r="C3" s="2" t="s">
        <v>3</v>
      </c>
      <c r="D3" s="2"/>
      <c r="E3" s="2"/>
      <c r="F3" s="2"/>
      <c r="G3" s="2"/>
      <c r="H3" s="2"/>
      <c r="I3" s="4" t="s">
        <v>4</v>
      </c>
      <c r="J3" s="4"/>
    </row>
    <row r="4" customFormat="false" ht="36.75" hidden="false" customHeight="true" outlineLevel="0" collapsed="false">
      <c r="A4" s="5" t="s">
        <v>5</v>
      </c>
      <c r="B4" s="3"/>
      <c r="C4" s="6" t="s">
        <v>6</v>
      </c>
      <c r="D4" s="6"/>
      <c r="E4" s="6"/>
      <c r="F4" s="6"/>
      <c r="G4" s="6"/>
      <c r="H4" s="6"/>
      <c r="I4" s="4"/>
      <c r="J4" s="4"/>
      <c r="L4" s="7" t="s">
        <v>7</v>
      </c>
      <c r="M4" s="7" t="s">
        <v>8</v>
      </c>
      <c r="N4" s="7" t="s">
        <v>9</v>
      </c>
      <c r="O4" s="7" t="s">
        <v>10</v>
      </c>
      <c r="P4" s="7" t="s">
        <v>11</v>
      </c>
      <c r="Q4" s="7" t="s">
        <v>12</v>
      </c>
      <c r="R4" s="7" t="s">
        <v>13</v>
      </c>
      <c r="S4" s="7" t="s">
        <v>14</v>
      </c>
      <c r="T4" s="8" t="s">
        <v>15</v>
      </c>
      <c r="U4" s="8"/>
      <c r="V4" s="8" t="s">
        <v>16</v>
      </c>
      <c r="W4" s="7" t="s">
        <v>17</v>
      </c>
    </row>
    <row r="5" customFormat="false" ht="19.5" hidden="false" customHeight="true" outlineLevel="0" collapsed="false">
      <c r="A5" s="6" t="s">
        <v>18</v>
      </c>
      <c r="B5" s="3"/>
      <c r="C5" s="9" t="s">
        <v>19</v>
      </c>
      <c r="D5" s="9" t="s">
        <v>20</v>
      </c>
      <c r="E5" s="9" t="s">
        <v>21</v>
      </c>
      <c r="F5" s="9" t="s">
        <v>22</v>
      </c>
      <c r="G5" s="9" t="s">
        <v>23</v>
      </c>
      <c r="H5" s="10" t="s">
        <v>24</v>
      </c>
      <c r="I5" s="4"/>
      <c r="J5" s="4"/>
      <c r="L5" s="7"/>
      <c r="M5" s="7"/>
      <c r="N5" s="7"/>
      <c r="O5" s="7"/>
      <c r="P5" s="7"/>
      <c r="Q5" s="7"/>
      <c r="R5" s="7"/>
      <c r="S5" s="7"/>
      <c r="T5" s="8"/>
      <c r="U5" s="8"/>
      <c r="V5" s="8"/>
      <c r="W5" s="8"/>
    </row>
    <row r="6" customFormat="false" ht="19.5" hidden="false" customHeight="true" outlineLevel="0" collapsed="false">
      <c r="A6" s="6" t="s">
        <v>25</v>
      </c>
      <c r="B6" s="11" t="s">
        <v>26</v>
      </c>
      <c r="C6" s="11" t="s">
        <v>26</v>
      </c>
      <c r="D6" s="11" t="s">
        <v>26</v>
      </c>
      <c r="E6" s="11" t="s">
        <v>26</v>
      </c>
      <c r="F6" s="11" t="s">
        <v>26</v>
      </c>
      <c r="G6" s="11" t="s">
        <v>26</v>
      </c>
      <c r="H6" s="11" t="e">
        <f aca="false">AVERAGE(C6:G6)</f>
        <v>#DIV/0!</v>
      </c>
      <c r="I6" s="12" t="e">
        <f aca="false">MAX(T6,V6)</f>
        <v>#VALUE!</v>
      </c>
      <c r="J6" s="13" t="s">
        <v>27</v>
      </c>
      <c r="L6" s="14" t="e">
        <f aca="false">23.03*(SQRT(((H6-C6)^2+(H6-D6)^2+(H6-E6)^2+(H6-F6)^2+(H6-G6)^2)/20))</f>
        <v>#VALUE!</v>
      </c>
      <c r="M6" s="14" t="n">
        <f aca="false">W6/2*100</f>
        <v>0.805</v>
      </c>
      <c r="N6" s="14" t="n">
        <f aca="false">(0.001/(2*SQRT(3)))*23.03</f>
        <v>0.00664818834971854</v>
      </c>
      <c r="O6" s="14"/>
      <c r="P6" s="14" t="n">
        <f aca="false">(4.343*(50*10^-9/SQRT(3))/10^-3)*23.03</f>
        <v>0.00288730820028276</v>
      </c>
      <c r="Q6" s="14" t="n">
        <f aca="false">(4.343*(100*10^-9/SQRT(3))/10^-3)*23.03</f>
        <v>0.00577461640056553</v>
      </c>
      <c r="R6" s="14" t="n">
        <f aca="false">(0.005/SQRT(3))*23.03</f>
        <v>0.0664818834971854</v>
      </c>
      <c r="S6" s="14" t="e">
        <f aca="false">SQRT(L6^2+M6^2+N6^2+Q6^2+P6^2+R6^2)</f>
        <v>#VALUE!</v>
      </c>
      <c r="T6" s="15" t="e">
        <f aca="false">S6*2</f>
        <v>#VALUE!</v>
      </c>
      <c r="U6" s="13" t="s">
        <v>27</v>
      </c>
      <c r="V6" s="14"/>
      <c r="W6" s="16" t="n">
        <v>0.0161</v>
      </c>
    </row>
    <row r="7" customFormat="false" ht="19.5" hidden="false" customHeight="true" outlineLevel="0" collapsed="false">
      <c r="A7" s="6" t="s">
        <v>28</v>
      </c>
      <c r="B7" s="11" t="s">
        <v>26</v>
      </c>
      <c r="C7" s="11" t="s">
        <v>26</v>
      </c>
      <c r="D7" s="11" t="s">
        <v>26</v>
      </c>
      <c r="E7" s="11" t="s">
        <v>26</v>
      </c>
      <c r="F7" s="11" t="s">
        <v>26</v>
      </c>
      <c r="G7" s="11" t="s">
        <v>26</v>
      </c>
      <c r="H7" s="11" t="e">
        <f aca="false">AVERAGE(C7:G7)</f>
        <v>#DIV/0!</v>
      </c>
      <c r="I7" s="12" t="e">
        <f aca="false">MAX(T7,V7)</f>
        <v>#VALUE!</v>
      </c>
      <c r="J7" s="13" t="s">
        <v>27</v>
      </c>
      <c r="L7" s="14" t="e">
        <f aca="false">23.03*(SQRT(((H7-C7)^2+(H7-D7)^2+(H7-E7)^2+(H7-F7)^2+(H7-G7)^2)/20))</f>
        <v>#VALUE!</v>
      </c>
      <c r="M7" s="14" t="n">
        <f aca="false">W7/2*100</f>
        <v>0.805</v>
      </c>
      <c r="N7" s="14" t="n">
        <f aca="false">(0.001/(2*SQRT(3)))*23.03</f>
        <v>0.00664818834971854</v>
      </c>
      <c r="O7" s="14"/>
      <c r="P7" s="14" t="n">
        <f aca="false">(4.343*(50*10^-9/SQRT(3))/10^-3)*23.03</f>
        <v>0.00288730820028276</v>
      </c>
      <c r="Q7" s="14" t="n">
        <f aca="false">(4.343*(100*10^-9/SQRT(3))/10^-3)*23.03</f>
        <v>0.00577461640056553</v>
      </c>
      <c r="R7" s="14" t="n">
        <f aca="false">(0.005/SQRT(3))*23.03</f>
        <v>0.0664818834971854</v>
      </c>
      <c r="S7" s="14" t="e">
        <f aca="false">SQRT(L7^2+M7^2+N7^2+Q7^2+P7^2+R7^2)</f>
        <v>#VALUE!</v>
      </c>
      <c r="T7" s="15" t="e">
        <f aca="false">S7*2</f>
        <v>#VALUE!</v>
      </c>
      <c r="U7" s="13" t="s">
        <v>27</v>
      </c>
      <c r="V7" s="14"/>
      <c r="W7" s="16" t="n">
        <v>0.0161</v>
      </c>
    </row>
    <row r="8" customFormat="false" ht="19.5" hidden="false" customHeight="true" outlineLevel="0" collapsed="false">
      <c r="A8" s="6" t="s">
        <v>29</v>
      </c>
      <c r="B8" s="11" t="s">
        <v>26</v>
      </c>
      <c r="C8" s="11" t="s">
        <v>26</v>
      </c>
      <c r="D8" s="11" t="s">
        <v>26</v>
      </c>
      <c r="E8" s="11" t="s">
        <v>26</v>
      </c>
      <c r="F8" s="11" t="s">
        <v>26</v>
      </c>
      <c r="G8" s="11" t="s">
        <v>26</v>
      </c>
      <c r="H8" s="11" t="e">
        <f aca="false">AVERAGE(C8:G8)</f>
        <v>#DIV/0!</v>
      </c>
      <c r="I8" s="12" t="e">
        <f aca="false">MAX(T8,V8)</f>
        <v>#VALUE!</v>
      </c>
      <c r="J8" s="13" t="s">
        <v>27</v>
      </c>
      <c r="L8" s="14" t="e">
        <f aca="false">23.03*(SQRT(((H8-C8)^2+(H8-D8)^2+(H8-E8)^2+(H8-F8)^2+(H8-G8)^2)/20))</f>
        <v>#VALUE!</v>
      </c>
      <c r="M8" s="14" t="n">
        <f aca="false">W8/2*100</f>
        <v>0.805</v>
      </c>
      <c r="N8" s="14" t="n">
        <f aca="false">(0.001/(2*SQRT(3)))*23.03</f>
        <v>0.00664818834971854</v>
      </c>
      <c r="O8" s="14"/>
      <c r="P8" s="14" t="n">
        <f aca="false">(4.343*(50*10^-9/SQRT(3))/10^-3)*23.03</f>
        <v>0.00288730820028276</v>
      </c>
      <c r="Q8" s="14" t="n">
        <f aca="false">(4.343*(100*10^-9/SQRT(3))/10^-3)*23.03</f>
        <v>0.00577461640056553</v>
      </c>
      <c r="R8" s="14" t="n">
        <f aca="false">(0.005/SQRT(3))*23.03</f>
        <v>0.0664818834971854</v>
      </c>
      <c r="S8" s="14" t="e">
        <f aca="false">SQRT(L8^2+M8^2+N8^2+Q8^2+P8^2+R8^2)</f>
        <v>#VALUE!</v>
      </c>
      <c r="T8" s="15" t="e">
        <f aca="false">S8*2</f>
        <v>#VALUE!</v>
      </c>
      <c r="U8" s="13" t="s">
        <v>27</v>
      </c>
      <c r="V8" s="14"/>
      <c r="W8" s="16" t="n">
        <v>0.0161</v>
      </c>
    </row>
    <row r="9" customFormat="false" ht="19.5" hidden="false" customHeight="true" outlineLevel="0" collapsed="false">
      <c r="A9" s="6" t="s">
        <v>30</v>
      </c>
      <c r="B9" s="11" t="s">
        <v>26</v>
      </c>
      <c r="C9" s="11" t="s">
        <v>26</v>
      </c>
      <c r="D9" s="11" t="s">
        <v>26</v>
      </c>
      <c r="E9" s="11" t="s">
        <v>26</v>
      </c>
      <c r="F9" s="11" t="s">
        <v>26</v>
      </c>
      <c r="G9" s="11" t="s">
        <v>26</v>
      </c>
      <c r="H9" s="11" t="e">
        <f aca="false">AVERAGE(C9:G9)</f>
        <v>#DIV/0!</v>
      </c>
      <c r="I9" s="12" t="e">
        <f aca="false">MAX(T9,V9)</f>
        <v>#VALUE!</v>
      </c>
      <c r="J9" s="13" t="s">
        <v>27</v>
      </c>
      <c r="L9" s="14" t="e">
        <f aca="false">23.03*(SQRT(((H9-C9)^2+(H9-D9)^2+(H9-E9)^2+(H9-F9)^2+(H9-G9)^2)/20))</f>
        <v>#VALUE!</v>
      </c>
      <c r="M9" s="14" t="n">
        <f aca="false">W9/2*100</f>
        <v>0.815</v>
      </c>
      <c r="N9" s="14" t="n">
        <f aca="false">(0.001/(2*SQRT(3)))*23.03</f>
        <v>0.00664818834971854</v>
      </c>
      <c r="O9" s="14"/>
      <c r="P9" s="14" t="n">
        <f aca="false">(4.343*(50*10^-9/SQRT(3))/10^-3)*23.03</f>
        <v>0.00288730820028276</v>
      </c>
      <c r="Q9" s="14" t="n">
        <f aca="false">(4.343*(100*10^-9/SQRT(3))/10^-3)*23.03</f>
        <v>0.00577461640056553</v>
      </c>
      <c r="R9" s="14" t="n">
        <f aca="false">(0.005/SQRT(3))*23.03</f>
        <v>0.0664818834971854</v>
      </c>
      <c r="S9" s="14" t="e">
        <f aca="false">SQRT(L9^2+M9^2+N9^2+Q9^2+P9^2+R9^2)</f>
        <v>#VALUE!</v>
      </c>
      <c r="T9" s="15" t="e">
        <f aca="false">S9*2</f>
        <v>#VALUE!</v>
      </c>
      <c r="U9" s="13" t="s">
        <v>27</v>
      </c>
      <c r="V9" s="14"/>
      <c r="W9" s="16" t="n">
        <v>0.0163</v>
      </c>
    </row>
    <row r="10" customFormat="false" ht="19.5" hidden="false" customHeight="true" outlineLevel="0" collapsed="false">
      <c r="A10" s="6" t="s">
        <v>31</v>
      </c>
      <c r="B10" s="11" t="s">
        <v>26</v>
      </c>
      <c r="C10" s="11" t="s">
        <v>26</v>
      </c>
      <c r="D10" s="11" t="s">
        <v>26</v>
      </c>
      <c r="E10" s="11" t="s">
        <v>26</v>
      </c>
      <c r="F10" s="11" t="s">
        <v>26</v>
      </c>
      <c r="G10" s="11" t="s">
        <v>26</v>
      </c>
      <c r="H10" s="11" t="e">
        <f aca="false">AVERAGE(C10:G10)</f>
        <v>#DIV/0!</v>
      </c>
      <c r="I10" s="12" t="e">
        <f aca="false">MAX(T10,V10)</f>
        <v>#VALUE!</v>
      </c>
      <c r="J10" s="13" t="s">
        <v>27</v>
      </c>
      <c r="L10" s="14" t="e">
        <f aca="false">23.03*(SQRT(((H10-C10)^2+(H10-D10)^2+(H10-E10)^2+(H10-F10)^2+(H10-G10)^2)/20))</f>
        <v>#VALUE!</v>
      </c>
      <c r="M10" s="14" t="n">
        <f aca="false">W10/2*100</f>
        <v>0.815</v>
      </c>
      <c r="N10" s="14" t="n">
        <f aca="false">(0.001/(2*SQRT(3)))*23.03</f>
        <v>0.00664818834971854</v>
      </c>
      <c r="O10" s="14"/>
      <c r="P10" s="14" t="n">
        <f aca="false">(4.343*(50*10^-9/SQRT(3))/10^-3)*23.03</f>
        <v>0.00288730820028276</v>
      </c>
      <c r="Q10" s="14" t="n">
        <f aca="false">(4.343*(100*10^-9/SQRT(3))/10^-3)*23.03</f>
        <v>0.00577461640056553</v>
      </c>
      <c r="R10" s="14" t="n">
        <f aca="false">(0.005/SQRT(3))*23.03</f>
        <v>0.0664818834971854</v>
      </c>
      <c r="S10" s="14" t="e">
        <f aca="false">SQRT(L10^2+M10^2+N10^2+Q10^2+P10^2+R10^2)</f>
        <v>#VALUE!</v>
      </c>
      <c r="T10" s="15" t="e">
        <f aca="false">S10*2</f>
        <v>#VALUE!</v>
      </c>
      <c r="U10" s="13" t="s">
        <v>27</v>
      </c>
      <c r="V10" s="14"/>
      <c r="W10" s="16" t="n">
        <v>0.0163</v>
      </c>
    </row>
    <row r="11" customFormat="false" ht="19.5" hidden="false" customHeight="true" outlineLevel="0" collapsed="false">
      <c r="A11" s="6" t="s">
        <v>32</v>
      </c>
      <c r="B11" s="11" t="s">
        <v>26</v>
      </c>
      <c r="C11" s="11" t="s">
        <v>26</v>
      </c>
      <c r="D11" s="11" t="s">
        <v>26</v>
      </c>
      <c r="E11" s="11" t="s">
        <v>26</v>
      </c>
      <c r="F11" s="11" t="s">
        <v>26</v>
      </c>
      <c r="G11" s="11" t="s">
        <v>26</v>
      </c>
      <c r="H11" s="11" t="e">
        <f aca="false">AVERAGE(C11:G11)</f>
        <v>#DIV/0!</v>
      </c>
      <c r="I11" s="12" t="e">
        <f aca="false">MAX(T11,V11)</f>
        <v>#VALUE!</v>
      </c>
      <c r="J11" s="13" t="s">
        <v>27</v>
      </c>
      <c r="L11" s="14" t="e">
        <f aca="false">23.03*(SQRT(((H11-C11)^2+(H11-D11)^2+(H11-E11)^2+(H11-F11)^2+(H11-G11)^2)/20))</f>
        <v>#VALUE!</v>
      </c>
      <c r="M11" s="14" t="n">
        <f aca="false">W11/2*100</f>
        <v>0.815</v>
      </c>
      <c r="N11" s="14" t="n">
        <f aca="false">(0.001/(2*SQRT(3)))*23.03</f>
        <v>0.00664818834971854</v>
      </c>
      <c r="O11" s="14"/>
      <c r="P11" s="14" t="n">
        <f aca="false">(4.343*(50*10^-9/SQRT(3))/10^-3)*23.03</f>
        <v>0.00288730820028276</v>
      </c>
      <c r="Q11" s="14" t="n">
        <f aca="false">(4.343*(100*10^-9/SQRT(3))/10^-3)*23.03</f>
        <v>0.00577461640056553</v>
      </c>
      <c r="R11" s="14" t="n">
        <f aca="false">(0.005/SQRT(3))*23.03</f>
        <v>0.0664818834971854</v>
      </c>
      <c r="S11" s="14" t="e">
        <f aca="false">SQRT(L11^2+M11^2+N11^2+Q11^2+P11^2+R11^2)</f>
        <v>#VALUE!</v>
      </c>
      <c r="T11" s="15" t="e">
        <f aca="false">S11*2</f>
        <v>#VALUE!</v>
      </c>
      <c r="U11" s="13" t="s">
        <v>27</v>
      </c>
      <c r="V11" s="14"/>
      <c r="W11" s="16" t="n">
        <v>0.0163</v>
      </c>
    </row>
    <row r="12" customFormat="false" ht="19.5" hidden="false" customHeight="true" outlineLevel="0" collapsed="false">
      <c r="A12" s="6" t="s">
        <v>33</v>
      </c>
      <c r="B12" s="11" t="s">
        <v>26</v>
      </c>
      <c r="C12" s="11" t="s">
        <v>26</v>
      </c>
      <c r="D12" s="11" t="s">
        <v>26</v>
      </c>
      <c r="E12" s="11" t="s">
        <v>26</v>
      </c>
      <c r="F12" s="11" t="s">
        <v>26</v>
      </c>
      <c r="G12" s="11" t="s">
        <v>26</v>
      </c>
      <c r="H12" s="11" t="e">
        <f aca="false">AVERAGE(C12:G12)</f>
        <v>#DIV/0!</v>
      </c>
      <c r="I12" s="12" t="e">
        <f aca="false">MAX(T12,V12)</f>
        <v>#VALUE!</v>
      </c>
      <c r="J12" s="13" t="s">
        <v>27</v>
      </c>
      <c r="L12" s="14" t="e">
        <f aca="false">23.03*(SQRT(((H12-C12)^2+(H12-D12)^2+(H12-E12)^2+(H12-F12)^2+(H12-G12)^2)/20))</f>
        <v>#VALUE!</v>
      </c>
      <c r="M12" s="14" t="n">
        <f aca="false">W12/2*100</f>
        <v>0.82</v>
      </c>
      <c r="N12" s="14" t="n">
        <f aca="false">(0.001/(2*SQRT(3)))*23.03</f>
        <v>0.00664818834971854</v>
      </c>
      <c r="O12" s="14"/>
      <c r="P12" s="14" t="n">
        <f aca="false">(4.343*(50*10^-9/SQRT(3))/10^-3)*23.03</f>
        <v>0.00288730820028276</v>
      </c>
      <c r="Q12" s="14" t="n">
        <f aca="false">(4.343*(100*10^-9/SQRT(3))/10^-3)*23.03</f>
        <v>0.00577461640056553</v>
      </c>
      <c r="R12" s="14" t="n">
        <f aca="false">(0.005/SQRT(3))*23.03</f>
        <v>0.0664818834971854</v>
      </c>
      <c r="S12" s="14" t="e">
        <f aca="false">SQRT(L12^2+M12^2+N12^2+Q12^2+P12^2+R12^2)</f>
        <v>#VALUE!</v>
      </c>
      <c r="T12" s="15" t="e">
        <f aca="false">S12*2</f>
        <v>#VALUE!</v>
      </c>
      <c r="U12" s="13" t="s">
        <v>27</v>
      </c>
      <c r="V12" s="14"/>
      <c r="W12" s="16" t="n">
        <v>0.0164</v>
      </c>
    </row>
    <row r="13" customFormat="false" ht="19.5" hidden="false" customHeight="true" outlineLevel="0" collapsed="false">
      <c r="A13" s="6" t="s">
        <v>34</v>
      </c>
      <c r="B13" s="11" t="s">
        <v>26</v>
      </c>
      <c r="C13" s="11" t="s">
        <v>26</v>
      </c>
      <c r="D13" s="11" t="s">
        <v>26</v>
      </c>
      <c r="E13" s="11" t="s">
        <v>26</v>
      </c>
      <c r="F13" s="11" t="s">
        <v>26</v>
      </c>
      <c r="G13" s="11" t="s">
        <v>26</v>
      </c>
      <c r="H13" s="11" t="e">
        <f aca="false">AVERAGE(C13:G13)</f>
        <v>#DIV/0!</v>
      </c>
      <c r="I13" s="12" t="e">
        <f aca="false">MAX(T13,V13)</f>
        <v>#VALUE!</v>
      </c>
      <c r="J13" s="13" t="s">
        <v>27</v>
      </c>
      <c r="L13" s="14" t="e">
        <f aca="false">23.03*(SQRT(((H13-C13)^2+(H13-D13)^2+(H13-E13)^2+(H13-F13)^2+(H13-G13)^2)/20))</f>
        <v>#VALUE!</v>
      </c>
      <c r="M13" s="14" t="n">
        <f aca="false">W13/2*100</f>
        <v>0.83</v>
      </c>
      <c r="N13" s="14" t="n">
        <f aca="false">(0.001/(2*SQRT(3)))*23.03</f>
        <v>0.00664818834971854</v>
      </c>
      <c r="O13" s="14"/>
      <c r="P13" s="14" t="n">
        <f aca="false">(4.343*(50*10^-9/SQRT(3))/10^-3)*23.03</f>
        <v>0.00288730820028276</v>
      </c>
      <c r="Q13" s="14" t="n">
        <f aca="false">(4.343*(100*10^-9/SQRT(3))/10^-3)*23.03</f>
        <v>0.00577461640056553</v>
      </c>
      <c r="R13" s="14" t="n">
        <f aca="false">(0.005/SQRT(3))*23.03</f>
        <v>0.0664818834971854</v>
      </c>
      <c r="S13" s="14" t="e">
        <f aca="false">SQRT(L13^2+M13^2+N13^2+Q13^2+P13^2+R13^2)</f>
        <v>#VALUE!</v>
      </c>
      <c r="T13" s="15" t="e">
        <f aca="false">S13*2</f>
        <v>#VALUE!</v>
      </c>
      <c r="U13" s="13" t="s">
        <v>27</v>
      </c>
      <c r="V13" s="14"/>
      <c r="W13" s="16" t="n">
        <v>0.0166</v>
      </c>
    </row>
    <row r="14" customFormat="false" ht="19.5" hidden="false" customHeight="true" outlineLevel="0" collapsed="false">
      <c r="A14" s="6" t="s">
        <v>35</v>
      </c>
      <c r="B14" s="11" t="s">
        <v>26</v>
      </c>
      <c r="C14" s="11" t="s">
        <v>26</v>
      </c>
      <c r="D14" s="11" t="s">
        <v>26</v>
      </c>
      <c r="E14" s="11" t="s">
        <v>26</v>
      </c>
      <c r="F14" s="11" t="s">
        <v>26</v>
      </c>
      <c r="G14" s="11" t="s">
        <v>26</v>
      </c>
      <c r="H14" s="11" t="e">
        <f aca="false">AVERAGE(C14:G14)</f>
        <v>#DIV/0!</v>
      </c>
      <c r="I14" s="12" t="e">
        <f aca="false">MAX(T14,V14)</f>
        <v>#VALUE!</v>
      </c>
      <c r="J14" s="13" t="s">
        <v>27</v>
      </c>
      <c r="L14" s="14" t="e">
        <f aca="false">23.03*(SQRT(((H14-C14)^2+(H14-D14)^2+(H14-E14)^2+(H14-F14)^2+(H14-G14)^2)/20))</f>
        <v>#VALUE!</v>
      </c>
      <c r="M14" s="14" t="n">
        <f aca="false">W14/2*100</f>
        <v>0.83</v>
      </c>
      <c r="N14" s="14" t="n">
        <f aca="false">(0.001/(2*SQRT(3)))*23.03</f>
        <v>0.00664818834971854</v>
      </c>
      <c r="O14" s="14"/>
      <c r="P14" s="14" t="n">
        <f aca="false">(4.343*(50*10^-9/SQRT(3))/10^-3)*23.03</f>
        <v>0.00288730820028276</v>
      </c>
      <c r="Q14" s="14" t="n">
        <f aca="false">(4.343*(100*10^-9/SQRT(3))/10^-3)*23.03</f>
        <v>0.00577461640056553</v>
      </c>
      <c r="R14" s="14" t="n">
        <f aca="false">(0.005/SQRT(3))*23.03</f>
        <v>0.0664818834971854</v>
      </c>
      <c r="S14" s="14" t="e">
        <f aca="false">SQRT(L14^2+M14^2+N14^2+Q14^2+P14^2+R14^2)</f>
        <v>#VALUE!</v>
      </c>
      <c r="T14" s="15" t="e">
        <f aca="false">S14*2</f>
        <v>#VALUE!</v>
      </c>
      <c r="U14" s="13" t="s">
        <v>27</v>
      </c>
      <c r="V14" s="14"/>
      <c r="W14" s="16" t="n">
        <v>0.0166</v>
      </c>
    </row>
    <row r="15" customFormat="false" ht="19.5" hidden="false" customHeight="true" outlineLevel="0" collapsed="false">
      <c r="A15" s="6" t="s">
        <v>36</v>
      </c>
      <c r="B15" s="11" t="s">
        <v>26</v>
      </c>
      <c r="C15" s="11" t="s">
        <v>26</v>
      </c>
      <c r="D15" s="11" t="s">
        <v>26</v>
      </c>
      <c r="E15" s="11" t="s">
        <v>26</v>
      </c>
      <c r="F15" s="11" t="s">
        <v>26</v>
      </c>
      <c r="G15" s="11" t="s">
        <v>26</v>
      </c>
      <c r="H15" s="11" t="e">
        <f aca="false">AVERAGE(C15:G15)</f>
        <v>#DIV/0!</v>
      </c>
      <c r="I15" s="12" t="e">
        <f aca="false">MAX(T15,V15)</f>
        <v>#VALUE!</v>
      </c>
      <c r="J15" s="13" t="s">
        <v>27</v>
      </c>
      <c r="L15" s="14" t="e">
        <f aca="false">23.03*(SQRT(((H15-C15)^2+(H15-D15)^2+(H15-E15)^2+(H15-F15)^2+(H15-G15)^2)/20))</f>
        <v>#VALUE!</v>
      </c>
      <c r="M15" s="14" t="n">
        <f aca="false">W15/2*100</f>
        <v>0.835</v>
      </c>
      <c r="N15" s="14" t="n">
        <f aca="false">(0.001/(2*SQRT(3)))*23.03</f>
        <v>0.00664818834971854</v>
      </c>
      <c r="O15" s="14"/>
      <c r="P15" s="14" t="n">
        <f aca="false">(4.343*(50*10^-9/SQRT(3))/10^-3)*23.03</f>
        <v>0.00288730820028276</v>
      </c>
      <c r="Q15" s="14" t="n">
        <f aca="false">(4.343*(100*10^-9/SQRT(3))/10^-3)*23.03</f>
        <v>0.00577461640056553</v>
      </c>
      <c r="R15" s="14" t="n">
        <f aca="false">(0.005/SQRT(3))*23.03</f>
        <v>0.0664818834971854</v>
      </c>
      <c r="S15" s="14" t="e">
        <f aca="false">SQRT(L15^2+M15^2+N15^2+Q15^2+P15^2+R15^2)</f>
        <v>#VALUE!</v>
      </c>
      <c r="T15" s="15" t="e">
        <f aca="false">S15*2</f>
        <v>#VALUE!</v>
      </c>
      <c r="U15" s="13" t="s">
        <v>27</v>
      </c>
      <c r="V15" s="14"/>
      <c r="W15" s="16" t="n">
        <v>0.0167</v>
      </c>
    </row>
    <row r="16" customFormat="false" ht="19.5" hidden="false" customHeight="true" outlineLevel="0" collapsed="false">
      <c r="A16" s="6" t="s">
        <v>37</v>
      </c>
      <c r="B16" s="11" t="s">
        <v>26</v>
      </c>
      <c r="C16" s="11" t="s">
        <v>26</v>
      </c>
      <c r="D16" s="11" t="s">
        <v>26</v>
      </c>
      <c r="E16" s="11" t="s">
        <v>26</v>
      </c>
      <c r="F16" s="11" t="s">
        <v>26</v>
      </c>
      <c r="G16" s="11" t="s">
        <v>26</v>
      </c>
      <c r="H16" s="11" t="e">
        <f aca="false">AVERAGE(C16:G16)</f>
        <v>#DIV/0!</v>
      </c>
      <c r="I16" s="12" t="e">
        <f aca="false">MAX(T16,V16)</f>
        <v>#VALUE!</v>
      </c>
      <c r="J16" s="13" t="s">
        <v>27</v>
      </c>
      <c r="L16" s="14" t="e">
        <f aca="false">23.03*(SQRT(((H16-C16)^2+(H16-D16)^2+(H16-E16)^2+(H16-F16)^2+(H16-G16)^2)/20))</f>
        <v>#VALUE!</v>
      </c>
      <c r="M16" s="14" t="n">
        <f aca="false">W16/2*100</f>
        <v>0.83</v>
      </c>
      <c r="N16" s="14" t="n">
        <f aca="false">(0.001/(2*SQRT(3)))*23.03</f>
        <v>0.00664818834971854</v>
      </c>
      <c r="O16" s="14"/>
      <c r="P16" s="14" t="n">
        <f aca="false">(4.343*(50*10^-9/SQRT(3))/10^-3)*23.03</f>
        <v>0.00288730820028276</v>
      </c>
      <c r="Q16" s="14" t="n">
        <f aca="false">(4.343*(100*10^-9/SQRT(3))/10^-3)*23.03</f>
        <v>0.00577461640056553</v>
      </c>
      <c r="R16" s="14" t="n">
        <f aca="false">(0.005/SQRT(3))*23.03</f>
        <v>0.0664818834971854</v>
      </c>
      <c r="S16" s="14" t="e">
        <f aca="false">SQRT(L16^2+M16^2+N16^2+Q16^2+P16^2+R16^2)</f>
        <v>#VALUE!</v>
      </c>
      <c r="T16" s="15" t="e">
        <f aca="false">S16*2</f>
        <v>#VALUE!</v>
      </c>
      <c r="U16" s="13" t="s">
        <v>27</v>
      </c>
      <c r="V16" s="14"/>
      <c r="W16" s="16" t="n">
        <v>0.0166</v>
      </c>
    </row>
    <row r="17" customFormat="false" ht="19.5" hidden="false" customHeight="true" outlineLevel="0" collapsed="false">
      <c r="A17" s="6" t="s">
        <v>38</v>
      </c>
      <c r="B17" s="11" t="s">
        <v>26</v>
      </c>
      <c r="C17" s="11" t="s">
        <v>26</v>
      </c>
      <c r="D17" s="11" t="s">
        <v>26</v>
      </c>
      <c r="E17" s="11" t="s">
        <v>26</v>
      </c>
      <c r="F17" s="11" t="s">
        <v>26</v>
      </c>
      <c r="G17" s="11" t="s">
        <v>26</v>
      </c>
      <c r="H17" s="11" t="e">
        <f aca="false">AVERAGE(C17:G17)</f>
        <v>#DIV/0!</v>
      </c>
      <c r="I17" s="12" t="e">
        <f aca="false">MAX(T17,V17)</f>
        <v>#VALUE!</v>
      </c>
      <c r="J17" s="13" t="s">
        <v>27</v>
      </c>
      <c r="L17" s="14" t="e">
        <f aca="false">23.03*(SQRT(((H17-C17)^2+(H17-D17)^2+(H17-E17)^2+(H17-F17)^2+(H17-G17)^2)/20))</f>
        <v>#VALUE!</v>
      </c>
      <c r="M17" s="14" t="n">
        <f aca="false">W17/2*100</f>
        <v>0.83</v>
      </c>
      <c r="N17" s="14" t="n">
        <f aca="false">(0.001/(2*SQRT(3)))*23.03</f>
        <v>0.00664818834971854</v>
      </c>
      <c r="O17" s="14"/>
      <c r="P17" s="14" t="n">
        <f aca="false">(4.343*(50*10^-9/SQRT(3))/10^-3)*23.03</f>
        <v>0.00288730820028276</v>
      </c>
      <c r="Q17" s="14" t="n">
        <f aca="false">(4.343*(100*10^-9/SQRT(3))/10^-3)*23.03</f>
        <v>0.00577461640056553</v>
      </c>
      <c r="R17" s="14" t="n">
        <f aca="false">(0.005/SQRT(3))*23.03</f>
        <v>0.0664818834971854</v>
      </c>
      <c r="S17" s="14" t="e">
        <f aca="false">SQRT(L17^2+M17^2+N17^2+Q17^2+P17^2+R17^2)</f>
        <v>#VALUE!</v>
      </c>
      <c r="T17" s="15" t="e">
        <f aca="false">S17*2</f>
        <v>#VALUE!</v>
      </c>
      <c r="U17" s="13" t="s">
        <v>27</v>
      </c>
      <c r="V17" s="14"/>
      <c r="W17" s="16" t="n">
        <v>0.0166</v>
      </c>
    </row>
    <row r="18" customFormat="false" ht="19.5" hidden="false" customHeight="true" outlineLevel="0" collapsed="false">
      <c r="A18" s="6" t="s">
        <v>39</v>
      </c>
      <c r="B18" s="11" t="s">
        <v>26</v>
      </c>
      <c r="C18" s="11" t="s">
        <v>26</v>
      </c>
      <c r="D18" s="11" t="s">
        <v>26</v>
      </c>
      <c r="E18" s="11" t="s">
        <v>26</v>
      </c>
      <c r="F18" s="11" t="s">
        <v>26</v>
      </c>
      <c r="G18" s="11" t="s">
        <v>26</v>
      </c>
      <c r="H18" s="11" t="e">
        <f aca="false">AVERAGE(C18:G18)</f>
        <v>#DIV/0!</v>
      </c>
      <c r="I18" s="12" t="e">
        <f aca="false">MAX(T18,V18)</f>
        <v>#VALUE!</v>
      </c>
      <c r="J18" s="13" t="s">
        <v>27</v>
      </c>
      <c r="L18" s="14" t="e">
        <f aca="false">23.03*(SQRT(((H18-C18)^2+(H18-D18)^2+(H18-E18)^2+(H18-F18)^2+(H18-G18)^2)/20))</f>
        <v>#VALUE!</v>
      </c>
      <c r="M18" s="14" t="n">
        <f aca="false">W18/2*100</f>
        <v>0.89</v>
      </c>
      <c r="N18" s="14" t="n">
        <f aca="false">(0.001/(2*SQRT(3)))*23.03</f>
        <v>0.00664818834971854</v>
      </c>
      <c r="O18" s="14"/>
      <c r="P18" s="14" t="n">
        <f aca="false">(4.343*(50*10^-9/SQRT(3))/10^-3)*23.03</f>
        <v>0.00288730820028276</v>
      </c>
      <c r="Q18" s="14" t="n">
        <f aca="false">(4.343*(100*10^-9/SQRT(3))/10^-3)*23.03</f>
        <v>0.00577461640056553</v>
      </c>
      <c r="R18" s="14" t="n">
        <f aca="false">(0.005/SQRT(3))*23.03</f>
        <v>0.0664818834971854</v>
      </c>
      <c r="S18" s="14" t="e">
        <f aca="false">SQRT(L18^2+M18^2+N18^2+Q18^2+P18^2+R18^2)</f>
        <v>#VALUE!</v>
      </c>
      <c r="T18" s="15" t="e">
        <f aca="false">S18*2</f>
        <v>#VALUE!</v>
      </c>
      <c r="U18" s="13" t="s">
        <v>27</v>
      </c>
      <c r="V18" s="14"/>
      <c r="W18" s="16" t="n">
        <v>0.0178</v>
      </c>
    </row>
    <row r="19" customFormat="false" ht="19.5" hidden="false" customHeight="true" outlineLevel="0" collapsed="false">
      <c r="A19" s="6" t="s">
        <v>40</v>
      </c>
      <c r="B19" s="11" t="s">
        <v>26</v>
      </c>
      <c r="C19" s="11" t="s">
        <v>26</v>
      </c>
      <c r="D19" s="11" t="s">
        <v>26</v>
      </c>
      <c r="E19" s="11" t="s">
        <v>26</v>
      </c>
      <c r="F19" s="11" t="s">
        <v>26</v>
      </c>
      <c r="G19" s="11" t="s">
        <v>26</v>
      </c>
      <c r="H19" s="11" t="e">
        <f aca="false">AVERAGE(C19:G19)</f>
        <v>#DIV/0!</v>
      </c>
      <c r="I19" s="12" t="e">
        <f aca="false">MAX(T19,V19)</f>
        <v>#VALUE!</v>
      </c>
      <c r="J19" s="13" t="s">
        <v>27</v>
      </c>
      <c r="L19" s="14" t="e">
        <f aca="false">23.03*(SQRT(((H19-C19)^2+(H19-D19)^2+(H19-E19)^2+(H19-F19)^2+(H19-G19)^2)/20))</f>
        <v>#VALUE!</v>
      </c>
      <c r="M19" s="14" t="n">
        <f aca="false">W19/2*100</f>
        <v>0.9</v>
      </c>
      <c r="N19" s="14" t="n">
        <f aca="false">(0.001/(2*SQRT(3)))*23.03</f>
        <v>0.00664818834971854</v>
      </c>
      <c r="O19" s="14"/>
      <c r="P19" s="14" t="n">
        <f aca="false">(4.343*(50*10^-9/SQRT(3))/10^-3)*23.03</f>
        <v>0.00288730820028276</v>
      </c>
      <c r="Q19" s="14" t="n">
        <f aca="false">(4.343*(100*10^-9/SQRT(3))/10^-3)*23.03</f>
        <v>0.00577461640056553</v>
      </c>
      <c r="R19" s="14" t="n">
        <f aca="false">(0.005/SQRT(3))*23.03</f>
        <v>0.0664818834971854</v>
      </c>
      <c r="S19" s="14" t="e">
        <f aca="false">SQRT(L19^2+M19^2+N19^2+Q19^2+P19^2+R19^2)</f>
        <v>#VALUE!</v>
      </c>
      <c r="T19" s="15" t="e">
        <f aca="false">S19*2</f>
        <v>#VALUE!</v>
      </c>
      <c r="U19" s="13" t="s">
        <v>27</v>
      </c>
      <c r="V19" s="14"/>
      <c r="W19" s="16" t="n">
        <v>0.018</v>
      </c>
    </row>
    <row r="20" customFormat="false" ht="19.5" hidden="false" customHeight="true" outlineLevel="0" collapsed="false">
      <c r="A20" s="6" t="s">
        <v>41</v>
      </c>
      <c r="B20" s="11" t="s">
        <v>26</v>
      </c>
      <c r="C20" s="11" t="s">
        <v>26</v>
      </c>
      <c r="D20" s="11" t="s">
        <v>26</v>
      </c>
      <c r="E20" s="11" t="s">
        <v>26</v>
      </c>
      <c r="F20" s="11" t="s">
        <v>26</v>
      </c>
      <c r="G20" s="11" t="s">
        <v>26</v>
      </c>
      <c r="H20" s="11" t="e">
        <f aca="false">AVERAGE(C20:G20)</f>
        <v>#DIV/0!</v>
      </c>
      <c r="I20" s="12" t="e">
        <f aca="false">MAX(T20,V20)</f>
        <v>#VALUE!</v>
      </c>
      <c r="J20" s="13" t="s">
        <v>27</v>
      </c>
      <c r="L20" s="14" t="e">
        <f aca="false">23.03*(SQRT(((H20-C20)^2+(H20-D20)^2+(H20-E20)^2+(H20-F20)^2+(H20-G20)^2)/20))</f>
        <v>#VALUE!</v>
      </c>
      <c r="M20" s="14" t="n">
        <f aca="false">W20/2*100</f>
        <v>0.915</v>
      </c>
      <c r="N20" s="14" t="n">
        <f aca="false">(0.001/(2*SQRT(3)))*23.03</f>
        <v>0.00664818834971854</v>
      </c>
      <c r="O20" s="14"/>
      <c r="P20" s="14" t="n">
        <f aca="false">(4.343*(50*10^-9/SQRT(3))/10^-3)*23.03</f>
        <v>0.00288730820028276</v>
      </c>
      <c r="Q20" s="14" t="n">
        <f aca="false">(4.343*(100*10^-9/SQRT(3))/10^-3)*23.03</f>
        <v>0.00577461640056553</v>
      </c>
      <c r="R20" s="14" t="n">
        <f aca="false">(0.005/SQRT(3))*23.03</f>
        <v>0.0664818834971854</v>
      </c>
      <c r="S20" s="14" t="e">
        <f aca="false">SQRT(L20^2+M20^2+N20^2+Q20^2+P20^2+R20^2)</f>
        <v>#VALUE!</v>
      </c>
      <c r="T20" s="15" t="e">
        <f aca="false">S20*2</f>
        <v>#VALUE!</v>
      </c>
      <c r="U20" s="13" t="s">
        <v>27</v>
      </c>
      <c r="V20" s="14"/>
      <c r="W20" s="16" t="n">
        <v>0.0183</v>
      </c>
    </row>
    <row r="21" customFormat="false" ht="19.5" hidden="false" customHeight="true" outlineLevel="0" collapsed="false">
      <c r="A21" s="6" t="s">
        <v>42</v>
      </c>
      <c r="B21" s="11" t="s">
        <v>26</v>
      </c>
      <c r="C21" s="11" t="s">
        <v>26</v>
      </c>
      <c r="D21" s="11" t="s">
        <v>26</v>
      </c>
      <c r="E21" s="11" t="s">
        <v>26</v>
      </c>
      <c r="F21" s="11" t="s">
        <v>26</v>
      </c>
      <c r="G21" s="11" t="s">
        <v>26</v>
      </c>
      <c r="H21" s="11" t="e">
        <f aca="false">AVERAGE(C21:G21)</f>
        <v>#DIV/0!</v>
      </c>
      <c r="I21" s="12" t="e">
        <f aca="false">MAX(T21,V21)</f>
        <v>#VALUE!</v>
      </c>
      <c r="J21" s="13" t="s">
        <v>27</v>
      </c>
      <c r="L21" s="14" t="e">
        <f aca="false">23.03*(SQRT(((H21-C21)^2+(H21-D21)^2+(H21-E21)^2+(H21-F21)^2+(H21-G21)^2)/20))</f>
        <v>#VALUE!</v>
      </c>
      <c r="M21" s="14" t="n">
        <f aca="false">W21/2*100</f>
        <v>0.915</v>
      </c>
      <c r="N21" s="14" t="n">
        <f aca="false">(0.001/(2*SQRT(3)))*23.03</f>
        <v>0.00664818834971854</v>
      </c>
      <c r="O21" s="14"/>
      <c r="P21" s="14" t="n">
        <f aca="false">(4.343*(50*10^-9/SQRT(3))/10^-3)*23.03</f>
        <v>0.00288730820028276</v>
      </c>
      <c r="Q21" s="14" t="n">
        <f aca="false">(4.343*(100*10^-9/SQRT(3))/10^-3)*23.03</f>
        <v>0.00577461640056553</v>
      </c>
      <c r="R21" s="14" t="n">
        <f aca="false">(0.005/SQRT(3))*23.03</f>
        <v>0.0664818834971854</v>
      </c>
      <c r="S21" s="14" t="e">
        <f aca="false">SQRT(L21^2+M21^2+N21^2+Q21^2+P21^2+R21^2)</f>
        <v>#VALUE!</v>
      </c>
      <c r="T21" s="15" t="e">
        <f aca="false">S21*2</f>
        <v>#VALUE!</v>
      </c>
      <c r="U21" s="13" t="s">
        <v>27</v>
      </c>
      <c r="V21" s="14"/>
      <c r="W21" s="16" t="n">
        <v>0.0183</v>
      </c>
    </row>
    <row r="22" customFormat="false" ht="19.5" hidden="false" customHeight="true" outlineLevel="0" collapsed="false">
      <c r="A22" s="6" t="s">
        <v>43</v>
      </c>
      <c r="B22" s="11" t="s">
        <v>26</v>
      </c>
      <c r="C22" s="11" t="s">
        <v>26</v>
      </c>
      <c r="D22" s="11" t="s">
        <v>26</v>
      </c>
      <c r="E22" s="11" t="s">
        <v>26</v>
      </c>
      <c r="F22" s="11" t="s">
        <v>26</v>
      </c>
      <c r="G22" s="11" t="s">
        <v>26</v>
      </c>
      <c r="H22" s="11" t="e">
        <f aca="false">AVERAGE(C22:G22)</f>
        <v>#DIV/0!</v>
      </c>
      <c r="I22" s="12" t="e">
        <f aca="false">MAX(T22,V22)</f>
        <v>#VALUE!</v>
      </c>
      <c r="J22" s="13" t="s">
        <v>27</v>
      </c>
      <c r="L22" s="14" t="e">
        <f aca="false">23.03*(SQRT(((H22-C22)^2+(H22-D22)^2+(H22-E22)^2+(H22-F22)^2+(H22-G22)^2)/20))</f>
        <v>#VALUE!</v>
      </c>
      <c r="M22" s="14" t="n">
        <f aca="false">W22/2*100</f>
        <v>0.915</v>
      </c>
      <c r="N22" s="14" t="n">
        <f aca="false">(0.001/(2*SQRT(3)))*23.03</f>
        <v>0.00664818834971854</v>
      </c>
      <c r="O22" s="14"/>
      <c r="P22" s="14" t="n">
        <f aca="false">(4.343*(50*10^-9/SQRT(3))/10^-3)*23.03</f>
        <v>0.00288730820028276</v>
      </c>
      <c r="Q22" s="14" t="n">
        <f aca="false">(4.343*(100*10^-9/SQRT(3))/10^-3)*23.03</f>
        <v>0.00577461640056553</v>
      </c>
      <c r="R22" s="14" t="n">
        <f aca="false">(0.005/SQRT(3))*23.03</f>
        <v>0.0664818834971854</v>
      </c>
      <c r="S22" s="14" t="e">
        <f aca="false">SQRT(L22^2+M22^2+N22^2+Q22^2+P22^2+R22^2)</f>
        <v>#VALUE!</v>
      </c>
      <c r="T22" s="15" t="e">
        <f aca="false">S22*2</f>
        <v>#VALUE!</v>
      </c>
      <c r="U22" s="13" t="s">
        <v>27</v>
      </c>
      <c r="V22" s="14"/>
      <c r="W22" s="16" t="n">
        <v>0.0183</v>
      </c>
    </row>
    <row r="23" customFormat="false" ht="19.5" hidden="false" customHeight="true" outlineLevel="0" collapsed="false">
      <c r="A23" s="6" t="s">
        <v>44</v>
      </c>
      <c r="B23" s="11" t="s">
        <v>26</v>
      </c>
      <c r="C23" s="11" t="s">
        <v>26</v>
      </c>
      <c r="D23" s="11" t="s">
        <v>26</v>
      </c>
      <c r="E23" s="11" t="s">
        <v>26</v>
      </c>
      <c r="F23" s="11" t="s">
        <v>26</v>
      </c>
      <c r="G23" s="11" t="s">
        <v>26</v>
      </c>
      <c r="H23" s="11" t="e">
        <f aca="false">AVERAGE(C23:G23)</f>
        <v>#DIV/0!</v>
      </c>
      <c r="I23" s="12" t="e">
        <f aca="false">MAX(T23,V23)</f>
        <v>#VALUE!</v>
      </c>
      <c r="J23" s="13" t="s">
        <v>27</v>
      </c>
      <c r="L23" s="14" t="e">
        <f aca="false">23.03*(SQRT(((H23-C23)^2+(H23-D23)^2+(H23-E23)^2+(H23-F23)^2+(H23-G23)^2)/20))</f>
        <v>#VALUE!</v>
      </c>
      <c r="M23" s="14" t="n">
        <f aca="false">W23/2*100</f>
        <v>0.915</v>
      </c>
      <c r="N23" s="14" t="n">
        <f aca="false">(0.001/(2*SQRT(3)))*23.03</f>
        <v>0.00664818834971854</v>
      </c>
      <c r="O23" s="14"/>
      <c r="P23" s="14" t="n">
        <f aca="false">(4.343*(50*10^-9/SQRT(3))/10^-3)*23.03</f>
        <v>0.00288730820028276</v>
      </c>
      <c r="Q23" s="14" t="n">
        <f aca="false">(4.343*(100*10^-9/SQRT(3))/10^-3)*23.03</f>
        <v>0.00577461640056553</v>
      </c>
      <c r="R23" s="14" t="n">
        <f aca="false">(0.005/SQRT(3))*23.03</f>
        <v>0.0664818834971854</v>
      </c>
      <c r="S23" s="14" t="e">
        <f aca="false">SQRT(L23^2+M23^2+N23^2+Q23^2+P23^2+R23^2)</f>
        <v>#VALUE!</v>
      </c>
      <c r="T23" s="15" t="e">
        <f aca="false">S23*2</f>
        <v>#VALUE!</v>
      </c>
      <c r="U23" s="13" t="s">
        <v>27</v>
      </c>
      <c r="V23" s="14"/>
      <c r="W23" s="16" t="n">
        <v>0.0183</v>
      </c>
    </row>
    <row r="24" customFormat="false" ht="19.5" hidden="false" customHeight="true" outlineLevel="0" collapsed="false">
      <c r="A24" s="6" t="s">
        <v>45</v>
      </c>
      <c r="B24" s="11" t="s">
        <v>26</v>
      </c>
      <c r="C24" s="11" t="s">
        <v>26</v>
      </c>
      <c r="D24" s="11" t="s">
        <v>26</v>
      </c>
      <c r="E24" s="11" t="s">
        <v>26</v>
      </c>
      <c r="F24" s="11" t="s">
        <v>26</v>
      </c>
      <c r="G24" s="11" t="s">
        <v>26</v>
      </c>
      <c r="H24" s="11" t="e">
        <f aca="false">AVERAGE(C24:G24)</f>
        <v>#DIV/0!</v>
      </c>
      <c r="I24" s="12" t="e">
        <f aca="false">MAX(T24,V24)</f>
        <v>#VALUE!</v>
      </c>
      <c r="J24" s="13" t="s">
        <v>27</v>
      </c>
      <c r="L24" s="14" t="e">
        <f aca="false">23.03*(SQRT(((H24-C24)^2+(H24-D24)^2+(H24-E24)^2+(H24-F24)^2+(H24-G24)^2)/20))</f>
        <v>#VALUE!</v>
      </c>
      <c r="M24" s="14" t="n">
        <f aca="false">W24/2*100</f>
        <v>0.915</v>
      </c>
      <c r="N24" s="14" t="n">
        <f aca="false">(0.001/(2*SQRT(3)))*23.03</f>
        <v>0.00664818834971854</v>
      </c>
      <c r="O24" s="14"/>
      <c r="P24" s="14" t="n">
        <f aca="false">(4.343*(50*10^-9/SQRT(3))/10^-3)*23.03</f>
        <v>0.00288730820028276</v>
      </c>
      <c r="Q24" s="14" t="n">
        <f aca="false">(4.343*(100*10^-9/SQRT(3))/10^-3)*23.03</f>
        <v>0.00577461640056553</v>
      </c>
      <c r="R24" s="14" t="n">
        <f aca="false">(0.005/SQRT(3))*23.03</f>
        <v>0.0664818834971854</v>
      </c>
      <c r="S24" s="14" t="e">
        <f aca="false">SQRT(L24^2+M24^2+N24^2+Q24^2+P24^2+R24^2)</f>
        <v>#VALUE!</v>
      </c>
      <c r="T24" s="15" t="e">
        <f aca="false">S24*2</f>
        <v>#VALUE!</v>
      </c>
      <c r="U24" s="13" t="s">
        <v>27</v>
      </c>
      <c r="V24" s="14"/>
      <c r="W24" s="16" t="n">
        <v>0.0183</v>
      </c>
    </row>
    <row r="25" customFormat="false" ht="19.5" hidden="false" customHeight="true" outlineLevel="0" collapsed="false">
      <c r="A25" s="6" t="s">
        <v>46</v>
      </c>
      <c r="B25" s="11" t="s">
        <v>26</v>
      </c>
      <c r="C25" s="11" t="s">
        <v>26</v>
      </c>
      <c r="D25" s="11" t="s">
        <v>26</v>
      </c>
      <c r="E25" s="11" t="s">
        <v>26</v>
      </c>
      <c r="F25" s="11" t="s">
        <v>26</v>
      </c>
      <c r="G25" s="11" t="s">
        <v>26</v>
      </c>
      <c r="H25" s="11" t="e">
        <f aca="false">AVERAGE(C25:G25)</f>
        <v>#DIV/0!</v>
      </c>
      <c r="I25" s="12" t="e">
        <f aca="false">MAX(T25,V25)</f>
        <v>#VALUE!</v>
      </c>
      <c r="J25" s="13" t="s">
        <v>27</v>
      </c>
      <c r="L25" s="14" t="e">
        <f aca="false">23.03*(SQRT(((H25-C25)^2+(H25-D25)^2+(H25-E25)^2+(H25-F25)^2+(H25-G25)^2)/20))</f>
        <v>#VALUE!</v>
      </c>
      <c r="M25" s="14" t="n">
        <f aca="false">W25/2*100</f>
        <v>0.915</v>
      </c>
      <c r="N25" s="14" t="n">
        <f aca="false">(0.001/(2*SQRT(3)))*23.03</f>
        <v>0.00664818834971854</v>
      </c>
      <c r="O25" s="14"/>
      <c r="P25" s="14" t="n">
        <f aca="false">(4.343*(50*10^-9/SQRT(3))/10^-3)*23.03</f>
        <v>0.00288730820028276</v>
      </c>
      <c r="Q25" s="14" t="n">
        <f aca="false">(4.343*(100*10^-9/SQRT(3))/10^-3)*23.03</f>
        <v>0.00577461640056553</v>
      </c>
      <c r="R25" s="14" t="n">
        <f aca="false">(0.005/SQRT(3))*23.03</f>
        <v>0.0664818834971854</v>
      </c>
      <c r="S25" s="14" t="e">
        <f aca="false">SQRT(L25^2+M25^2+N25^2+Q25^2+P25^2+R25^2)</f>
        <v>#VALUE!</v>
      </c>
      <c r="T25" s="15" t="e">
        <f aca="false">S25*2</f>
        <v>#VALUE!</v>
      </c>
      <c r="U25" s="13" t="s">
        <v>27</v>
      </c>
      <c r="V25" s="14"/>
      <c r="W25" s="16" t="n">
        <v>0.0183</v>
      </c>
    </row>
    <row r="26" customFormat="false" ht="19.5" hidden="false" customHeight="true" outlineLevel="0" collapsed="false">
      <c r="A26" s="6" t="s">
        <v>47</v>
      </c>
      <c r="B26" s="11" t="s">
        <v>26</v>
      </c>
      <c r="C26" s="11" t="s">
        <v>26</v>
      </c>
      <c r="D26" s="11" t="s">
        <v>26</v>
      </c>
      <c r="E26" s="11" t="s">
        <v>26</v>
      </c>
      <c r="F26" s="11" t="s">
        <v>26</v>
      </c>
      <c r="G26" s="11" t="s">
        <v>26</v>
      </c>
      <c r="H26" s="11" t="e">
        <f aca="false">AVERAGE(C26:G26)</f>
        <v>#DIV/0!</v>
      </c>
      <c r="I26" s="12" t="e">
        <f aca="false">MAX(T26,V26)</f>
        <v>#VALUE!</v>
      </c>
      <c r="J26" s="13" t="s">
        <v>27</v>
      </c>
      <c r="L26" s="14" t="e">
        <f aca="false">23.03*(SQRT(((H26-C26)^2+(H26-D26)^2+(H26-E26)^2+(H26-F26)^2+(H26-G26)^2)/20))</f>
        <v>#VALUE!</v>
      </c>
      <c r="M26" s="14" t="n">
        <f aca="false">W26/2*100</f>
        <v>0.915</v>
      </c>
      <c r="N26" s="14" t="n">
        <f aca="false">(0.001/(2*SQRT(3)))*23.03</f>
        <v>0.00664818834971854</v>
      </c>
      <c r="O26" s="14"/>
      <c r="P26" s="14" t="n">
        <f aca="false">4.343*(50*10^-9/SQRT(3))/10^-3</f>
        <v>0.000125371610954527</v>
      </c>
      <c r="Q26" s="14" t="n">
        <f aca="false">(4.343*(100*10^-9/SQRT(3))/10^-3)*23.03</f>
        <v>0.00577461640056553</v>
      </c>
      <c r="R26" s="14" t="n">
        <f aca="false">(0.005/SQRT(3))*23.03</f>
        <v>0.0664818834971854</v>
      </c>
      <c r="S26" s="14" t="e">
        <f aca="false">SQRT(L26^2+M26^2+N26^2+Q26^2+P26^2+R26^2)</f>
        <v>#VALUE!</v>
      </c>
      <c r="T26" s="15" t="e">
        <f aca="false">S26*2</f>
        <v>#VALUE!</v>
      </c>
      <c r="U26" s="13" t="s">
        <v>27</v>
      </c>
      <c r="V26" s="14"/>
      <c r="W26" s="16" t="n">
        <v>0.0183</v>
      </c>
    </row>
    <row r="27" customFormat="false" ht="18.75" hidden="false" customHeight="true" outlineLevel="0" collapsed="false">
      <c r="C27" s="17"/>
      <c r="D27" s="17"/>
      <c r="E27" s="17"/>
      <c r="F27" s="17"/>
      <c r="G27" s="17"/>
      <c r="H27" s="17"/>
      <c r="I27" s="17"/>
      <c r="J27" s="17"/>
      <c r="K27" s="17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5">
    <mergeCell ref="B3:B5"/>
    <mergeCell ref="C3:H3"/>
    <mergeCell ref="I3:J5"/>
    <mergeCell ref="C4:H4"/>
    <mergeCell ref="L4:L5"/>
    <mergeCell ref="M4:M5"/>
    <mergeCell ref="N4:N5"/>
    <mergeCell ref="O4:O5"/>
    <mergeCell ref="P4:P5"/>
    <mergeCell ref="Q4:Q5"/>
    <mergeCell ref="R4:R5"/>
    <mergeCell ref="S4:S5"/>
    <mergeCell ref="T4:U5"/>
    <mergeCell ref="V4:V5"/>
    <mergeCell ref="W4:W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2026-08-14T07:01:52Z</dcterms:created>
  <dc:creator>NHAT TRUONG VO VAN</dc:creator>
  <dc:description/>
  <dc:language>en-US</dc:language>
  <cp:lastModifiedBy/>
  <dcterms:modified xsi:type="dcterms:W3CDTF">2026-09-18T13:23:51Z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